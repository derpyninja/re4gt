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Documents\Projects\04_jrc_green-skills-regional\03_data-analysis\re4gt\results\tables\"/>
    </mc:Choice>
  </mc:AlternateContent>
  <bookViews>
    <workbookView xWindow="0" yWindow="0" windowWidth="28800" windowHeight="12600" activeTab="2"/>
  </bookViews>
  <sheets>
    <sheet name="sample_size_abs" sheetId="1" r:id="rId1"/>
    <sheet name="sample_size_rel" sheetId="2" r:id="rId2"/>
    <sheet name="n_unique_occ" sheetId="3" r:id="rId3"/>
  </sheets>
  <calcPr calcId="162913"/>
</workbook>
</file>

<file path=xl/calcChain.xml><?xml version="1.0" encoding="utf-8"?>
<calcChain xmlns="http://schemas.openxmlformats.org/spreadsheetml/2006/main">
  <c r="AG2" i="3" l="1"/>
  <c r="AG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F2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C2" i="2" l="1"/>
  <c r="J2" i="2"/>
  <c r="O2" i="2"/>
  <c r="V2" i="2"/>
  <c r="AA2" i="2"/>
  <c r="C3" i="2"/>
  <c r="J3" i="2"/>
  <c r="N3" i="2"/>
  <c r="O3" i="2"/>
  <c r="V3" i="2"/>
  <c r="AA3" i="2"/>
  <c r="C4" i="2"/>
  <c r="E4" i="2"/>
  <c r="J4" i="2"/>
  <c r="N4" i="2"/>
  <c r="O4" i="2"/>
  <c r="U4" i="2"/>
  <c r="V4" i="2"/>
  <c r="AA4" i="2"/>
  <c r="C5" i="2"/>
  <c r="J5" i="2"/>
  <c r="L5" i="2"/>
  <c r="O5" i="2"/>
  <c r="P5" i="2"/>
  <c r="V5" i="2"/>
  <c r="AA5" i="2"/>
  <c r="AB5" i="2"/>
  <c r="C6" i="2"/>
  <c r="E6" i="2"/>
  <c r="J6" i="2"/>
  <c r="O6" i="2"/>
  <c r="Q6" i="2"/>
  <c r="S6" i="2"/>
  <c r="V6" i="2"/>
  <c r="AA6" i="2"/>
  <c r="AB6" i="2"/>
  <c r="F7" i="2"/>
  <c r="J7" i="2"/>
  <c r="Q7" i="2"/>
  <c r="V7" i="2"/>
  <c r="X7" i="2"/>
  <c r="Z7" i="2"/>
  <c r="Q8" i="2"/>
  <c r="S8" i="2"/>
  <c r="AE8" i="2"/>
  <c r="C9" i="2"/>
  <c r="D9" i="2"/>
  <c r="H9" i="2"/>
  <c r="O9" i="2"/>
  <c r="T9" i="2"/>
  <c r="X9" i="2"/>
  <c r="Z9" i="2"/>
  <c r="AA9" i="2"/>
  <c r="AE9" i="2"/>
  <c r="C10" i="2"/>
  <c r="I10" i="2"/>
  <c r="J10" i="2"/>
  <c r="O10" i="2"/>
  <c r="T10" i="2"/>
  <c r="V10" i="2"/>
  <c r="AA10" i="2"/>
  <c r="AE10" i="2"/>
  <c r="C11" i="2"/>
  <c r="D11" i="2"/>
  <c r="J11" i="2"/>
  <c r="O11" i="2"/>
  <c r="P11" i="2"/>
  <c r="R11" i="2"/>
  <c r="V11" i="2"/>
  <c r="AA11" i="2"/>
  <c r="C12" i="2"/>
  <c r="D12" i="2"/>
  <c r="F12" i="2"/>
  <c r="J12" i="2"/>
  <c r="O12" i="2"/>
  <c r="U12" i="2"/>
  <c r="V12" i="2"/>
  <c r="AA12" i="2"/>
  <c r="AC12" i="2"/>
  <c r="C13" i="2"/>
  <c r="F13" i="2"/>
  <c r="H13" i="2"/>
  <c r="J13" i="2"/>
  <c r="O13" i="2"/>
  <c r="T13" i="2"/>
  <c r="V13" i="2"/>
  <c r="AA13" i="2"/>
  <c r="AC13" i="2"/>
  <c r="C14" i="2"/>
  <c r="G14" i="2"/>
  <c r="J14" i="2"/>
  <c r="L14" i="2"/>
  <c r="O14" i="2"/>
  <c r="V14" i="2"/>
  <c r="AA14" i="2"/>
  <c r="C15" i="2"/>
  <c r="J15" i="2"/>
  <c r="N15" i="2"/>
  <c r="O15" i="2"/>
  <c r="V15" i="2"/>
  <c r="Z15" i="2"/>
  <c r="AA15" i="2"/>
  <c r="AD15" i="2"/>
  <c r="C16" i="2"/>
  <c r="E16" i="2"/>
  <c r="J16" i="2"/>
  <c r="O16" i="2"/>
  <c r="Q16" i="2"/>
  <c r="U16" i="2"/>
  <c r="V16" i="2"/>
  <c r="AA16" i="2"/>
  <c r="AB16" i="2"/>
  <c r="C17" i="2"/>
  <c r="D17" i="2"/>
  <c r="G17" i="2"/>
  <c r="I17" i="2"/>
  <c r="J17" i="2"/>
  <c r="O17" i="2"/>
  <c r="U17" i="2"/>
  <c r="V17" i="2"/>
  <c r="W17" i="2"/>
  <c r="Z17" i="2"/>
  <c r="AA17" i="2"/>
  <c r="AC17" i="2"/>
  <c r="C18" i="2"/>
  <c r="D18" i="2"/>
  <c r="E18" i="2"/>
  <c r="F18" i="2"/>
  <c r="I18" i="2"/>
  <c r="J18" i="2"/>
  <c r="O18" i="2"/>
  <c r="U18" i="2"/>
  <c r="V18" i="2"/>
  <c r="W18" i="2"/>
  <c r="Z18" i="2"/>
  <c r="AA18" i="2"/>
  <c r="AC18" i="2"/>
  <c r="D19" i="2"/>
  <c r="E19" i="2"/>
  <c r="F19" i="2"/>
  <c r="I19" i="2"/>
  <c r="J19" i="2"/>
  <c r="N19" i="2"/>
  <c r="U19" i="2"/>
  <c r="V19" i="2"/>
  <c r="W19" i="2"/>
  <c r="AC19" i="2"/>
  <c r="D20" i="2"/>
  <c r="E20" i="2"/>
  <c r="F20" i="2"/>
  <c r="H20" i="2"/>
  <c r="N20" i="2"/>
  <c r="Q20" i="2"/>
  <c r="T20" i="2"/>
  <c r="W20" i="2"/>
  <c r="AC20" i="2"/>
  <c r="C21" i="2"/>
  <c r="D21" i="2"/>
  <c r="F21" i="2"/>
  <c r="H21" i="2"/>
  <c r="N21" i="2"/>
  <c r="O21" i="2"/>
  <c r="P21" i="2"/>
  <c r="T21" i="2"/>
  <c r="W21" i="2"/>
  <c r="AA21" i="2"/>
  <c r="AB21" i="2"/>
  <c r="C22" i="2"/>
  <c r="D22" i="2"/>
  <c r="F22" i="2"/>
  <c r="H22" i="2"/>
  <c r="J22" i="2"/>
  <c r="N22" i="2"/>
  <c r="O22" i="2"/>
  <c r="P22" i="2"/>
  <c r="T22" i="2"/>
  <c r="V22" i="2"/>
  <c r="AA22" i="2"/>
  <c r="AB22" i="2"/>
  <c r="B22" i="2"/>
  <c r="B4" i="2"/>
  <c r="B7" i="2"/>
  <c r="B9" i="2"/>
  <c r="B13" i="2"/>
  <c r="B16" i="2"/>
  <c r="B19" i="2"/>
  <c r="B21" i="2"/>
  <c r="C23" i="1"/>
  <c r="C7" i="2" s="1"/>
  <c r="D23" i="1"/>
  <c r="D5" i="2" s="1"/>
  <c r="E23" i="1"/>
  <c r="E5" i="2" s="1"/>
  <c r="F23" i="1"/>
  <c r="F15" i="2" s="1"/>
  <c r="G23" i="1"/>
  <c r="G15" i="2" s="1"/>
  <c r="H23" i="1"/>
  <c r="H5" i="2" s="1"/>
  <c r="I23" i="1"/>
  <c r="I8" i="2" s="1"/>
  <c r="J23" i="1"/>
  <c r="J8" i="2" s="1"/>
  <c r="K23" i="1"/>
  <c r="K5" i="2" s="1"/>
  <c r="L23" i="1"/>
  <c r="M23" i="1"/>
  <c r="M4" i="2" s="1"/>
  <c r="N23" i="1"/>
  <c r="N7" i="2" s="1"/>
  <c r="O23" i="1"/>
  <c r="O7" i="2" s="1"/>
  <c r="P23" i="1"/>
  <c r="P13" i="2" s="1"/>
  <c r="Q23" i="1"/>
  <c r="Q13" i="2" s="1"/>
  <c r="R23" i="1"/>
  <c r="R7" i="2" s="1"/>
  <c r="S23" i="1"/>
  <c r="S7" i="2" s="1"/>
  <c r="T23" i="1"/>
  <c r="T14" i="2" s="1"/>
  <c r="U23" i="1"/>
  <c r="U9" i="2" s="1"/>
  <c r="V23" i="1"/>
  <c r="V8" i="2" s="1"/>
  <c r="W23" i="1"/>
  <c r="W12" i="2" s="1"/>
  <c r="X23" i="1"/>
  <c r="Y23" i="1"/>
  <c r="Y3" i="2" s="1"/>
  <c r="Z23" i="1"/>
  <c r="Z16" i="2" s="1"/>
  <c r="AA23" i="1"/>
  <c r="AA7" i="2" s="1"/>
  <c r="AB23" i="1"/>
  <c r="AB9" i="2" s="1"/>
  <c r="AC23" i="1"/>
  <c r="AC6" i="2" s="1"/>
  <c r="AD23" i="1"/>
  <c r="AD12" i="2" s="1"/>
  <c r="AE23" i="1"/>
  <c r="AE13" i="2" s="1"/>
  <c r="B23" i="1"/>
  <c r="B3" i="2" s="1"/>
  <c r="W13" i="2" l="1"/>
  <c r="K10" i="2"/>
  <c r="Y4" i="2"/>
  <c r="R3" i="2"/>
  <c r="X10" i="2"/>
  <c r="X22" i="2"/>
  <c r="X3" i="2"/>
  <c r="X15" i="2"/>
  <c r="X11" i="2"/>
  <c r="X4" i="2"/>
  <c r="X16" i="2"/>
  <c r="L10" i="2"/>
  <c r="L22" i="2"/>
  <c r="L3" i="2"/>
  <c r="L15" i="2"/>
  <c r="L11" i="2"/>
  <c r="L4" i="2"/>
  <c r="L16" i="2"/>
  <c r="L2" i="2"/>
  <c r="B20" i="2"/>
  <c r="B5" i="2"/>
  <c r="U22" i="2"/>
  <c r="G22" i="2"/>
  <c r="U21" i="2"/>
  <c r="G21" i="2"/>
  <c r="U20" i="2"/>
  <c r="G20" i="2"/>
  <c r="G19" i="2"/>
  <c r="G18" i="2"/>
  <c r="H17" i="2"/>
  <c r="T16" i="2"/>
  <c r="AE15" i="2"/>
  <c r="M15" i="2"/>
  <c r="X14" i="2"/>
  <c r="H14" i="2"/>
  <c r="G13" i="2"/>
  <c r="E12" i="2"/>
  <c r="Q11" i="2"/>
  <c r="AB10" i="2"/>
  <c r="N8" i="2"/>
  <c r="Y7" i="2"/>
  <c r="G7" i="2"/>
  <c r="R6" i="2"/>
  <c r="AC5" i="2"/>
  <c r="D4" i="2"/>
  <c r="Z2" i="2"/>
  <c r="W3" i="2"/>
  <c r="W15" i="2"/>
  <c r="W8" i="2"/>
  <c r="W4" i="2"/>
  <c r="W16" i="2"/>
  <c r="W9" i="2"/>
  <c r="M8" i="2"/>
  <c r="Y2" i="2"/>
  <c r="B17" i="2"/>
  <c r="S22" i="2"/>
  <c r="S21" i="2"/>
  <c r="S20" i="2"/>
  <c r="S19" i="2"/>
  <c r="S18" i="2"/>
  <c r="T17" i="2"/>
  <c r="E17" i="2"/>
  <c r="P16" i="2"/>
  <c r="I15" i="2"/>
  <c r="F14" i="2"/>
  <c r="S13" i="2"/>
  <c r="E13" i="2"/>
  <c r="R12" i="2"/>
  <c r="Z10" i="2"/>
  <c r="H10" i="2"/>
  <c r="S9" i="2"/>
  <c r="AD8" i="2"/>
  <c r="L8" i="2"/>
  <c r="W7" i="2"/>
  <c r="E7" i="2"/>
  <c r="P6" i="2"/>
  <c r="I5" i="2"/>
  <c r="T4" i="2"/>
  <c r="AE3" i="2"/>
  <c r="M3" i="2"/>
  <c r="X2" i="2"/>
  <c r="U13" i="2"/>
  <c r="U6" i="2"/>
  <c r="U2" i="2"/>
  <c r="U14" i="2"/>
  <c r="U7" i="2"/>
  <c r="R21" i="2"/>
  <c r="R20" i="2"/>
  <c r="R19" i="2"/>
  <c r="R18" i="2"/>
  <c r="S17" i="2"/>
  <c r="H15" i="2"/>
  <c r="R13" i="2"/>
  <c r="D13" i="2"/>
  <c r="Q12" i="2"/>
  <c r="AD11" i="2"/>
  <c r="N11" i="2"/>
  <c r="W10" i="2"/>
  <c r="G10" i="2"/>
  <c r="P9" i="2"/>
  <c r="AC8" i="2"/>
  <c r="AE6" i="2"/>
  <c r="X5" i="2"/>
  <c r="Q4" i="2"/>
  <c r="AD3" i="2"/>
  <c r="W2" i="2"/>
  <c r="K3" i="2"/>
  <c r="K15" i="2"/>
  <c r="K8" i="2"/>
  <c r="K4" i="2"/>
  <c r="K16" i="2"/>
  <c r="K9" i="2"/>
  <c r="K2" i="2"/>
  <c r="I13" i="2"/>
  <c r="I6" i="2"/>
  <c r="I2" i="2"/>
  <c r="I14" i="2"/>
  <c r="I7" i="2"/>
  <c r="B6" i="2"/>
  <c r="B18" i="2"/>
  <c r="B11" i="2"/>
  <c r="T6" i="2"/>
  <c r="T18" i="2"/>
  <c r="T11" i="2"/>
  <c r="T7" i="2"/>
  <c r="T19" i="2"/>
  <c r="T12" i="2"/>
  <c r="H6" i="2"/>
  <c r="H18" i="2"/>
  <c r="H11" i="2"/>
  <c r="H2" i="2"/>
  <c r="H7" i="2"/>
  <c r="H19" i="2"/>
  <c r="H12" i="2"/>
  <c r="B15" i="2"/>
  <c r="AE22" i="2"/>
  <c r="AE21" i="2"/>
  <c r="AE20" i="2"/>
  <c r="AE19" i="2"/>
  <c r="Q19" i="2"/>
  <c r="AE18" i="2"/>
  <c r="Q18" i="2"/>
  <c r="Q17" i="2"/>
  <c r="N16" i="2"/>
  <c r="Y15" i="2"/>
  <c r="S14" i="2"/>
  <c r="P12" i="2"/>
  <c r="AC11" i="2"/>
  <c r="K11" i="2"/>
  <c r="D10" i="2"/>
  <c r="Z8" i="2"/>
  <c r="H8" i="2"/>
  <c r="AD6" i="2"/>
  <c r="L6" i="2"/>
  <c r="W5" i="2"/>
  <c r="P4" i="2"/>
  <c r="I3" i="2"/>
  <c r="R22" i="2"/>
  <c r="AE11" i="2"/>
  <c r="AE4" i="2"/>
  <c r="AE16" i="2"/>
  <c r="AE12" i="2"/>
  <c r="AE5" i="2"/>
  <c r="S11" i="2"/>
  <c r="S4" i="2"/>
  <c r="S16" i="2"/>
  <c r="S12" i="2"/>
  <c r="S5" i="2"/>
  <c r="G11" i="2"/>
  <c r="G4" i="2"/>
  <c r="G16" i="2"/>
  <c r="G2" i="2"/>
  <c r="G12" i="2"/>
  <c r="G5" i="2"/>
  <c r="B14" i="2"/>
  <c r="AD22" i="2"/>
  <c r="AD21" i="2"/>
  <c r="AD20" i="2"/>
  <c r="P20" i="2"/>
  <c r="AD19" i="2"/>
  <c r="P19" i="2"/>
  <c r="AD18" i="2"/>
  <c r="P18" i="2"/>
  <c r="AE17" i="2"/>
  <c r="P17" i="2"/>
  <c r="AC16" i="2"/>
  <c r="M16" i="2"/>
  <c r="R14" i="2"/>
  <c r="AD13" i="2"/>
  <c r="AB11" i="2"/>
  <c r="U10" i="2"/>
  <c r="N9" i="2"/>
  <c r="Y8" i="2"/>
  <c r="G8" i="2"/>
  <c r="K6" i="2"/>
  <c r="Z3" i="2"/>
  <c r="H3" i="2"/>
  <c r="T2" i="2"/>
  <c r="F4" i="2"/>
  <c r="F16" i="2"/>
  <c r="F9" i="2"/>
  <c r="F2" i="2"/>
  <c r="F5" i="2"/>
  <c r="F17" i="2"/>
  <c r="F10" i="2"/>
  <c r="Y14" i="2"/>
  <c r="W14" i="2"/>
  <c r="R4" i="2"/>
  <c r="R16" i="2"/>
  <c r="R9" i="2"/>
  <c r="R5" i="2"/>
  <c r="R17" i="2"/>
  <c r="R10" i="2"/>
  <c r="M12" i="2"/>
  <c r="M9" i="2"/>
  <c r="F8" i="2"/>
  <c r="U5" i="2"/>
  <c r="S2" i="2"/>
  <c r="AC9" i="2"/>
  <c r="AC21" i="2"/>
  <c r="AC2" i="2"/>
  <c r="AC23" i="2" s="1"/>
  <c r="AC14" i="2"/>
  <c r="AC10" i="2"/>
  <c r="AC22" i="2"/>
  <c r="AC3" i="2"/>
  <c r="AC15" i="2"/>
  <c r="Q9" i="2"/>
  <c r="Q21" i="2"/>
  <c r="Q2" i="2"/>
  <c r="Q14" i="2"/>
  <c r="Q10" i="2"/>
  <c r="Q22" i="2"/>
  <c r="Q3" i="2"/>
  <c r="Q15" i="2"/>
  <c r="E9" i="2"/>
  <c r="E21" i="2"/>
  <c r="E14" i="2"/>
  <c r="E2" i="2"/>
  <c r="E23" i="2" s="1"/>
  <c r="E10" i="2"/>
  <c r="E22" i="2"/>
  <c r="E3" i="2"/>
  <c r="E15" i="2"/>
  <c r="B12" i="2"/>
  <c r="M22" i="2"/>
  <c r="M21" i="2"/>
  <c r="AB20" i="2"/>
  <c r="M20" i="2"/>
  <c r="AB19" i="2"/>
  <c r="M19" i="2"/>
  <c r="AB18" i="2"/>
  <c r="N18" i="2"/>
  <c r="AB17" i="2"/>
  <c r="N17" i="2"/>
  <c r="I16" i="2"/>
  <c r="T15" i="2"/>
  <c r="AE14" i="2"/>
  <c r="N14" i="2"/>
  <c r="AB13" i="2"/>
  <c r="M13" i="2"/>
  <c r="AB12" i="2"/>
  <c r="L12" i="2"/>
  <c r="Z11" i="2"/>
  <c r="F11" i="2"/>
  <c r="S10" i="2"/>
  <c r="L9" i="2"/>
  <c r="U8" i="2"/>
  <c r="E8" i="2"/>
  <c r="G6" i="2"/>
  <c r="T5" i="2"/>
  <c r="AC4" i="2"/>
  <c r="F3" i="2"/>
  <c r="R2" i="2"/>
  <c r="M5" i="2"/>
  <c r="M17" i="2"/>
  <c r="M10" i="2"/>
  <c r="M6" i="2"/>
  <c r="M18" i="2"/>
  <c r="M11" i="2"/>
  <c r="M2" i="2"/>
  <c r="AD4" i="2"/>
  <c r="AD16" i="2"/>
  <c r="AD9" i="2"/>
  <c r="AD5" i="2"/>
  <c r="AD17" i="2"/>
  <c r="AD10" i="2"/>
  <c r="U15" i="2"/>
  <c r="I11" i="2"/>
  <c r="X8" i="2"/>
  <c r="G3" i="2"/>
  <c r="AB2" i="2"/>
  <c r="AB14" i="2"/>
  <c r="AB7" i="2"/>
  <c r="AB3" i="2"/>
  <c r="AB15" i="2"/>
  <c r="AB8" i="2"/>
  <c r="P2" i="2"/>
  <c r="P14" i="2"/>
  <c r="P7" i="2"/>
  <c r="P3" i="2"/>
  <c r="P15" i="2"/>
  <c r="P8" i="2"/>
  <c r="D2" i="2"/>
  <c r="D23" i="2" s="1"/>
  <c r="D14" i="2"/>
  <c r="D7" i="2"/>
  <c r="D3" i="2"/>
  <c r="D15" i="2"/>
  <c r="D8" i="2"/>
  <c r="B10" i="2"/>
  <c r="Z22" i="2"/>
  <c r="K22" i="2"/>
  <c r="Z21" i="2"/>
  <c r="L21" i="2"/>
  <c r="Z20" i="2"/>
  <c r="L20" i="2"/>
  <c r="Z19" i="2"/>
  <c r="L19" i="2"/>
  <c r="L18" i="2"/>
  <c r="L17" i="2"/>
  <c r="H16" i="2"/>
  <c r="S15" i="2"/>
  <c r="AD14" i="2"/>
  <c r="M14" i="2"/>
  <c r="L13" i="2"/>
  <c r="K12" i="2"/>
  <c r="W11" i="2"/>
  <c r="E11" i="2"/>
  <c r="P10" i="2"/>
  <c r="I9" i="2"/>
  <c r="T8" i="2"/>
  <c r="AE7" i="2"/>
  <c r="M7" i="2"/>
  <c r="X6" i="2"/>
  <c r="F6" i="2"/>
  <c r="Q5" i="2"/>
  <c r="AB4" i="2"/>
  <c r="U3" i="2"/>
  <c r="Y5" i="2"/>
  <c r="Y17" i="2"/>
  <c r="Y10" i="2"/>
  <c r="Y6" i="2"/>
  <c r="Y23" i="2" s="1"/>
  <c r="Y18" i="2"/>
  <c r="Y11" i="2"/>
  <c r="K21" i="2"/>
  <c r="K20" i="2"/>
  <c r="K19" i="2"/>
  <c r="K18" i="2"/>
  <c r="K17" i="2"/>
  <c r="K13" i="2"/>
  <c r="Y22" i="2"/>
  <c r="Y21" i="2"/>
  <c r="Y20" i="2"/>
  <c r="Y19" i="2"/>
  <c r="Y16" i="2"/>
  <c r="R15" i="2"/>
  <c r="Y13" i="2"/>
  <c r="Y12" i="2"/>
  <c r="AD7" i="2"/>
  <c r="L7" i="2"/>
  <c r="W6" i="2"/>
  <c r="I4" i="2"/>
  <c r="T3" i="2"/>
  <c r="AE2" i="2"/>
  <c r="Z12" i="2"/>
  <c r="Z5" i="2"/>
  <c r="Z13" i="2"/>
  <c r="Z6" i="2"/>
  <c r="N12" i="2"/>
  <c r="N5" i="2"/>
  <c r="N13" i="2"/>
  <c r="N6" i="2"/>
  <c r="N2" i="2"/>
  <c r="N23" i="2" s="1"/>
  <c r="B2" i="2"/>
  <c r="B8" i="2"/>
  <c r="W22" i="2"/>
  <c r="I22" i="2"/>
  <c r="X21" i="2"/>
  <c r="I21" i="2"/>
  <c r="X20" i="2"/>
  <c r="I20" i="2"/>
  <c r="X19" i="2"/>
  <c r="X18" i="2"/>
  <c r="X17" i="2"/>
  <c r="D16" i="2"/>
  <c r="Z14" i="2"/>
  <c r="K14" i="2"/>
  <c r="X13" i="2"/>
  <c r="X12" i="2"/>
  <c r="I12" i="2"/>
  <c r="U11" i="2"/>
  <c r="N10" i="2"/>
  <c r="Y9" i="2"/>
  <c r="G9" i="2"/>
  <c r="R8" i="2"/>
  <c r="AC7" i="2"/>
  <c r="K7" i="2"/>
  <c r="D6" i="2"/>
  <c r="Z4" i="2"/>
  <c r="H4" i="2"/>
  <c r="S3" i="2"/>
  <c r="S23" i="2" s="1"/>
  <c r="AD2" i="2"/>
  <c r="V21" i="2"/>
  <c r="J21" i="2"/>
  <c r="AA20" i="2"/>
  <c r="O20" i="2"/>
  <c r="C20" i="2"/>
  <c r="V9" i="2"/>
  <c r="V23" i="2" s="1"/>
  <c r="J9" i="2"/>
  <c r="J23" i="2" s="1"/>
  <c r="AA8" i="2"/>
  <c r="AA23" i="2" s="1"/>
  <c r="O8" i="2"/>
  <c r="O23" i="2" s="1"/>
  <c r="C8" i="2"/>
  <c r="C23" i="2" s="1"/>
  <c r="V20" i="2"/>
  <c r="J20" i="2"/>
  <c r="AA19" i="2"/>
  <c r="O19" i="2"/>
  <c r="C19" i="2"/>
  <c r="B23" i="2"/>
  <c r="W23" i="2" l="1"/>
  <c r="Z23" i="2"/>
  <c r="T23" i="2"/>
  <c r="I23" i="2"/>
  <c r="G23" i="2"/>
  <c r="Q23" i="2"/>
  <c r="AE23" i="2"/>
  <c r="P23" i="2"/>
  <c r="H23" i="2"/>
  <c r="X23" i="2"/>
  <c r="U23" i="2"/>
  <c r="K23" i="2"/>
  <c r="L23" i="2"/>
  <c r="R23" i="2"/>
  <c r="AB23" i="2"/>
  <c r="F23" i="2"/>
  <c r="AD23" i="2"/>
  <c r="M23" i="2"/>
</calcChain>
</file>

<file path=xl/sharedStrings.xml><?xml version="1.0" encoding="utf-8"?>
<sst xmlns="http://schemas.openxmlformats.org/spreadsheetml/2006/main" count="159" uniqueCount="54">
  <si>
    <t>NACE1D_label</t>
  </si>
  <si>
    <t>AT</t>
  </si>
  <si>
    <t>BE</t>
  </si>
  <si>
    <t>BG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</si>
  <si>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</si>
  <si>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</si>
  <si>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</si>
  <si>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</si>
  <si>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</si>
  <si>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</si>
  <si>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</si>
  <si>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</si>
  <si>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</si>
  <si>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</si>
  <si>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</si>
  <si>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</si>
  <si>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</si>
  <si>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IS</t>
  </si>
  <si>
    <t>IT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</si>
  <si>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</si>
  <si>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</si>
  <si>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</si>
  <si>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</si>
  <si>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</si>
  <si>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</si>
  <si>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</si>
  <si>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</si>
  <si>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</si>
  <si>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</si>
  <si>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SK</t>
  </si>
  <si>
    <t>UK</t>
  </si>
  <si>
    <t>Accommodation and Food Service Activities</t>
  </si>
  <si>
    <t>Activities of Extraterritorial Organisations and Bodies</t>
  </si>
  <si>
    <t>Activities of Households as Employers; Undifferentiated Goods and Services Producing Activities of Households for Own Use</t>
  </si>
  <si>
    <t>Administrative and Support Service Activities</t>
  </si>
  <si>
    <t>Agriculture, Forestry and Fishing</t>
  </si>
  <si>
    <t>Arts, Entertainment and Recreation</t>
  </si>
  <si>
    <t>Construction</t>
  </si>
  <si>
    <t>Education</t>
  </si>
  <si>
    <t>Electricity, Gas, Steam and Air Conditioning Supply</t>
  </si>
  <si>
    <t>Financial and Insurance Activities</t>
  </si>
  <si>
    <t>Human Health and Social Work Activities</t>
  </si>
  <si>
    <t>Information and Communication</t>
  </si>
  <si>
    <t>Manufacturing</t>
  </si>
  <si>
    <t>Mining and Quarrying</t>
  </si>
  <si>
    <t>Other Service Activities</t>
  </si>
  <si>
    <t>Professional, Scientific and Technical Activities</t>
  </si>
  <si>
    <t>Public Administration and Defence; Compulsory Social Security</t>
  </si>
  <si>
    <t>Real Estate Activities</t>
  </si>
  <si>
    <t>Transportation and Storage</t>
  </si>
  <si>
    <t>Water Supply; Sewerage, Waste Management and Remediation Activities</t>
  </si>
  <si>
    <t>Wholesale and Retail Trade; Repair of Motor Vehicles and Motorcycles</t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</si>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</sst>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6" fillId="2" borderId="0" xfId="7"/>
    <xf numFmtId="0" fontId="9" fillId="5" borderId="4" xfId="10"/>
    <xf numFmtId="0" fontId="16" fillId="0" borderId="0" xfId="0" applyFont="1"/>
    <xf numFmtId="0" fontId="6" fillId="2" borderId="4" xfId="7" applyBorder="1"/>
    <xf numFmtId="0" fontId="0" fillId="0" borderId="0" xfId="0" applyBorder="1"/>
    <xf numFmtId="0" fontId="9" fillId="5" borderId="4" xfId="10" applyBorder="1"/>
    <xf numFmtId="164" fontId="0" fillId="0" borderId="0" xfId="1" applyNumberFormat="1" applyFont="1"/>
    <xf numFmtId="2" fontId="0" fillId="0" borderId="0" xfId="0" applyNumberFormat="1"/>
    <xf numFmtId="0" fontId="0" fillId="0" borderId="0" xfId="0" applyFont="1"/>
    <xf numFmtId="0" fontId="9" fillId="5" borderId="4" xfId="10" applyFont="1" applyBorder="1"/>
    <xf numFmtId="0" fontId="0" fillId="0" borderId="0" xfId="0" applyFont="1" applyBorder="1"/>
    <xf numFmtId="0" fontId="6" fillId="2" borderId="4" xfId="7" applyFont="1" applyBorder="1"/>
    <xf numFmtId="0" fontId="9" fillId="5" borderId="4" xfId="1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36">
    <dxf>
      <font>
        <b val="0"/>
      </font>
    </dxf>
    <dxf>
      <numFmt numFmtId="0" formatCode="General"/>
    </dxf>
    <dxf>
      <numFmt numFmtId="2" formatCode="0.00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1:AE23" totalsRowCount="1" headerRowDxfId="35">
  <autoFilter ref="A1:AE22"/>
  <tableColumns count="31">
    <tableColumn id="1" name="NACE1D_label"/>
    <tableColumn id="2" name="AT" totalsRowFunction="custom">
      <totalsRowFormula>SUM(Table2[AT])</totalsRowFormula>
    </tableColumn>
    <tableColumn id="3" name="BE" totalsRowFunction="custom">
      <totalsRowFormula>SUM(Table2[BE])</totalsRowFormula>
    </tableColumn>
    <tableColumn id="4" name="BG" totalsRowFunction="custom">
      <totalsRowFormula>SUM(Table2[BG])</totalsRowFormula>
    </tableColumn>
    <tableColumn id="5" name="CH" totalsRowFunction="custom">
      <totalsRowFormula>SUM(Table2[CH])</totalsRowFormula>
    </tableColumn>
    <tableColumn id="6" name="CY" totalsRowFunction="custom">
      <totalsRowFormula>SUM(Table2[CY])</totalsRowFormula>
    </tableColumn>
    <tableColumn id="7" name="CZ" totalsRowFunction="custom">
      <totalsRowFormula>SUM(Table2[CZ])</totalsRowFormula>
    </tableColumn>
    <tableColumn id="8" name="DE" totalsRowFunction="custom">
      <totalsRowFormula>SUM(Table2[DE])</totalsRowFormula>
    </tableColumn>
    <tableColumn id="9" name="DK" totalsRowFunction="custom">
      <totalsRowFormula>SUM(Table2[DK])</totalsRowFormula>
    </tableColumn>
    <tableColumn id="10" name="EE" totalsRowFunction="custom">
      <totalsRowFormula>SUM(Table2[EE])</totalsRowFormula>
    </tableColumn>
    <tableColumn id="11" name="ES" totalsRowFunction="custom">
      <totalsRowFormula>SUM(Table2[ES])</totalsRowFormula>
    </tableColumn>
    <tableColumn id="12" name="FI" totalsRowFunction="custom">
      <totalsRowFormula>SUM(Table2[FI])</totalsRowFormula>
    </tableColumn>
    <tableColumn id="13" name="FR" totalsRowFunction="custom" dataDxfId="0">
      <totalsRowFormula>SUM(Table2[FR])</totalsRowFormula>
    </tableColumn>
    <tableColumn id="14" name="GR" totalsRowFunction="custom">
      <totalsRowFormula>SUM(Table2[GR])</totalsRowFormula>
    </tableColumn>
    <tableColumn id="15" name="HR" totalsRowFunction="custom">
      <totalsRowFormula>SUM(Table2[HR])</totalsRowFormula>
    </tableColumn>
    <tableColumn id="16" name="HU" totalsRowFunction="custom">
      <totalsRowFormula>SUM(Table2[HU])</totalsRowFormula>
    </tableColumn>
    <tableColumn id="17" name="IE" totalsRowFunction="custom">
      <totalsRowFormula>SUM(Table2[IE])</totalsRowFormula>
    </tableColumn>
    <tableColumn id="18" name="IS" totalsRowFunction="custom">
      <totalsRowFormula>SUM(Table2[IS])</totalsRowFormula>
    </tableColumn>
    <tableColumn id="19" name="IT" totalsRowFunction="custom">
      <totalsRowFormula>SUM(Table2[IT])</totalsRowFormula>
    </tableColumn>
    <tableColumn id="20" name="LT" totalsRowFunction="custom">
      <totalsRowFormula>SUM(Table2[LT])</totalsRowFormula>
    </tableColumn>
    <tableColumn id="21" name="LU" totalsRowFunction="custom">
      <totalsRowFormula>SUM(Table2[LU])</totalsRowFormula>
    </tableColumn>
    <tableColumn id="22" name="LV" totalsRowFunction="custom">
      <totalsRowFormula>SUM(Table2[LV])</totalsRowFormula>
    </tableColumn>
    <tableColumn id="23" name="MT" totalsRowFunction="custom">
      <totalsRowFormula>SUM(Table2[MT])</totalsRowFormula>
    </tableColumn>
    <tableColumn id="24" name="NL" totalsRowFunction="custom">
      <totalsRowFormula>SUM(Table2[NL])</totalsRowFormula>
    </tableColumn>
    <tableColumn id="25" name="NO" totalsRowFunction="custom">
      <totalsRowFormula>SUM(Table2[NO])</totalsRowFormula>
    </tableColumn>
    <tableColumn id="26" name="PL" totalsRowFunction="custom">
      <totalsRowFormula>SUM(Table2[PL])</totalsRowFormula>
    </tableColumn>
    <tableColumn id="27" name="PT" totalsRowFunction="custom">
      <totalsRowFormula>SUM(Table2[PT])</totalsRowFormula>
    </tableColumn>
    <tableColumn id="28" name="RO" totalsRowFunction="custom">
      <totalsRowFormula>SUM(Table2[RO])</totalsRowFormula>
    </tableColumn>
    <tableColumn id="29" name="SE" totalsRowFunction="custom">
      <totalsRowFormula>SUM(Table2[SE])</totalsRowFormula>
    </tableColumn>
    <tableColumn id="30" name="SK" totalsRowFunction="custom">
      <totalsRowFormula>SUM(Table2[SK])</totalsRowFormula>
    </tableColumn>
    <tableColumn id="31" name="UK" totalsRowFunction="custom">
      <totalsRowFormula>SUM(Table2[UK])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24" displayName="Table24" ref="A1:AF23" totalsRowCount="1" headerRowDxfId="34">
  <autoFilter ref="A1:AF22"/>
  <tableColumns count="32">
    <tableColumn id="1" name="NACE1D_label"/>
    <tableColumn id="2" name="AT" totalsRowFunction="custom" dataDxfId="33" dataCellStyle="Percent">
      <calculatedColumnFormula>Table2[[#This Row],[AT]]/Table2[[#Totals],[AT]]</calculatedColumnFormula>
      <totalsRowFormula>SUM(Table24[AT])</totalsRowFormula>
    </tableColumn>
    <tableColumn id="3" name="BE" totalsRowFunction="custom" dataDxfId="32" dataCellStyle="Percent">
      <calculatedColumnFormula>Table2[[#This Row],[BE]]/Table2[[#Totals],[BE]]</calculatedColumnFormula>
      <totalsRowFormula>SUM(Table24[BE])</totalsRowFormula>
    </tableColumn>
    <tableColumn id="4" name="BG" totalsRowFunction="custom" dataDxfId="31" dataCellStyle="Percent">
      <calculatedColumnFormula>Table2[[#This Row],[BG]]/Table2[[#Totals],[BG]]</calculatedColumnFormula>
      <totalsRowFormula>SUM(Table24[BG])</totalsRowFormula>
    </tableColumn>
    <tableColumn id="5" name="CH" totalsRowFunction="custom" dataDxfId="30" dataCellStyle="Percent">
      <calculatedColumnFormula>Table2[[#This Row],[CH]]/Table2[[#Totals],[CH]]</calculatedColumnFormula>
      <totalsRowFormula>SUM(Table24[CH])</totalsRowFormula>
    </tableColumn>
    <tableColumn id="6" name="CY" totalsRowFunction="custom" dataDxfId="29" dataCellStyle="Percent">
      <calculatedColumnFormula>Table2[[#This Row],[CY]]/Table2[[#Totals],[CY]]</calculatedColumnFormula>
      <totalsRowFormula>SUM(Table24[CY])</totalsRowFormula>
    </tableColumn>
    <tableColumn id="7" name="CZ" totalsRowFunction="custom" dataDxfId="28" dataCellStyle="Percent">
      <calculatedColumnFormula>Table2[[#This Row],[CZ]]/Table2[[#Totals],[CZ]]</calculatedColumnFormula>
      <totalsRowFormula>SUM(Table24[CZ])</totalsRowFormula>
    </tableColumn>
    <tableColumn id="8" name="DE" totalsRowFunction="custom" dataDxfId="27" dataCellStyle="Percent">
      <calculatedColumnFormula>Table2[[#This Row],[DE]]/Table2[[#Totals],[DE]]</calculatedColumnFormula>
      <totalsRowFormula>SUM(Table24[DE])</totalsRowFormula>
    </tableColumn>
    <tableColumn id="9" name="DK" totalsRowFunction="custom" dataDxfId="26" dataCellStyle="Percent">
      <calculatedColumnFormula>Table2[[#This Row],[DK]]/Table2[[#Totals],[DK]]</calculatedColumnFormula>
      <totalsRowFormula>SUM(Table24[DK])</totalsRowFormula>
    </tableColumn>
    <tableColumn id="10" name="EE" totalsRowFunction="custom" dataDxfId="25" dataCellStyle="Percent">
      <calculatedColumnFormula>Table2[[#This Row],[EE]]/Table2[[#Totals],[EE]]</calculatedColumnFormula>
      <totalsRowFormula>SUM(Table24[EE])</totalsRowFormula>
    </tableColumn>
    <tableColumn id="11" name="ES" totalsRowFunction="custom" dataDxfId="24" dataCellStyle="Percent">
      <calculatedColumnFormula>Table2[[#This Row],[ES]]/Table2[[#Totals],[ES]]</calculatedColumnFormula>
      <totalsRowFormula>SUM(Table24[ES])</totalsRowFormula>
    </tableColumn>
    <tableColumn id="12" name="FI" totalsRowFunction="custom" dataDxfId="23" dataCellStyle="Percent">
      <calculatedColumnFormula>Table2[[#This Row],[FI]]/Table2[[#Totals],[FI]]</calculatedColumnFormula>
      <totalsRowFormula>SUM(Table24[FI])</totalsRowFormula>
    </tableColumn>
    <tableColumn id="13" name="FR" totalsRowFunction="custom" dataDxfId="22" dataCellStyle="Percent">
      <calculatedColumnFormula>Table2[[#This Row],[FR]]/Table2[[#Totals],[FR]]</calculatedColumnFormula>
      <totalsRowFormula>SUM(Table24[FR])</totalsRowFormula>
    </tableColumn>
    <tableColumn id="14" name="GR" totalsRowFunction="custom" dataDxfId="21" dataCellStyle="Percent">
      <calculatedColumnFormula>Table2[[#This Row],[GR]]/Table2[[#Totals],[GR]]</calculatedColumnFormula>
      <totalsRowFormula>SUM(Table24[GR])</totalsRowFormula>
    </tableColumn>
    <tableColumn id="15" name="HR" totalsRowFunction="custom" dataDxfId="20" dataCellStyle="Percent">
      <calculatedColumnFormula>Table2[[#This Row],[HR]]/Table2[[#Totals],[HR]]</calculatedColumnFormula>
      <totalsRowFormula>SUM(Table24[HR])</totalsRowFormula>
    </tableColumn>
    <tableColumn id="16" name="HU" totalsRowFunction="custom" dataDxfId="19" dataCellStyle="Percent">
      <calculatedColumnFormula>Table2[[#This Row],[HU]]/Table2[[#Totals],[HU]]</calculatedColumnFormula>
      <totalsRowFormula>SUM(Table24[HU])</totalsRowFormula>
    </tableColumn>
    <tableColumn id="17" name="IE" totalsRowFunction="custom" dataDxfId="18" dataCellStyle="Percent">
      <calculatedColumnFormula>Table2[[#This Row],[IE]]/Table2[[#Totals],[IE]]</calculatedColumnFormula>
      <totalsRowFormula>SUM(Table24[IE])</totalsRowFormula>
    </tableColumn>
    <tableColumn id="18" name="IS" totalsRowFunction="custom" dataDxfId="17" dataCellStyle="Percent">
      <calculatedColumnFormula>Table2[[#This Row],[IS]]/Table2[[#Totals],[IS]]</calculatedColumnFormula>
      <totalsRowFormula>SUM(Table24[IS])</totalsRowFormula>
    </tableColumn>
    <tableColumn id="19" name="IT" totalsRowFunction="custom" dataDxfId="16" dataCellStyle="Percent">
      <calculatedColumnFormula>Table2[[#This Row],[IT]]/Table2[[#Totals],[IT]]</calculatedColumnFormula>
      <totalsRowFormula>SUM(Table24[IT])</totalsRowFormula>
    </tableColumn>
    <tableColumn id="20" name="LT" totalsRowFunction="custom" dataDxfId="15" dataCellStyle="Percent">
      <calculatedColumnFormula>Table2[[#This Row],[LT]]/Table2[[#Totals],[LT]]</calculatedColumnFormula>
      <totalsRowFormula>SUM(Table24[LT])</totalsRowFormula>
    </tableColumn>
    <tableColumn id="21" name="LU" totalsRowFunction="custom" dataDxfId="14" dataCellStyle="Percent">
      <calculatedColumnFormula>Table2[[#This Row],[LU]]/Table2[[#Totals],[LU]]</calculatedColumnFormula>
      <totalsRowFormula>SUM(Table24[LU])</totalsRowFormula>
    </tableColumn>
    <tableColumn id="22" name="LV" totalsRowFunction="custom" dataDxfId="13" dataCellStyle="Percent">
      <calculatedColumnFormula>Table2[[#This Row],[LV]]/Table2[[#Totals],[LV]]</calculatedColumnFormula>
      <totalsRowFormula>SUM(Table24[LV])</totalsRowFormula>
    </tableColumn>
    <tableColumn id="23" name="MT" totalsRowFunction="custom" dataDxfId="12" dataCellStyle="Percent">
      <calculatedColumnFormula>Table2[[#This Row],[MT]]/Table2[[#Totals],[MT]]</calculatedColumnFormula>
      <totalsRowFormula>SUM(Table24[MT])</totalsRowFormula>
    </tableColumn>
    <tableColumn id="24" name="NL" totalsRowFunction="custom" dataDxfId="11" dataCellStyle="Percent">
      <calculatedColumnFormula>Table2[[#This Row],[NL]]/Table2[[#Totals],[NL]]</calculatedColumnFormula>
      <totalsRowFormula>SUM(Table24[NL])</totalsRowFormula>
    </tableColumn>
    <tableColumn id="25" name="NO" totalsRowFunction="custom" dataDxfId="10" dataCellStyle="Percent">
      <calculatedColumnFormula>Table2[[#This Row],[NO]]/Table2[[#Totals],[NO]]</calculatedColumnFormula>
      <totalsRowFormula>SUM(Table24[NO])</totalsRowFormula>
    </tableColumn>
    <tableColumn id="26" name="PL" totalsRowFunction="custom" dataDxfId="9" dataCellStyle="Percent">
      <calculatedColumnFormula>Table2[[#This Row],[PL]]/Table2[[#Totals],[PL]]</calculatedColumnFormula>
      <totalsRowFormula>SUM(Table24[PL])</totalsRowFormula>
    </tableColumn>
    <tableColumn id="27" name="PT" totalsRowFunction="custom" dataDxfId="8" dataCellStyle="Percent">
      <calculatedColumnFormula>Table2[[#This Row],[PT]]/Table2[[#Totals],[PT]]</calculatedColumnFormula>
      <totalsRowFormula>SUM(Table24[PT])</totalsRowFormula>
    </tableColumn>
    <tableColumn id="28" name="RO" totalsRowFunction="custom" dataDxfId="7" dataCellStyle="Percent">
      <calculatedColumnFormula>Table2[[#This Row],[RO]]/Table2[[#Totals],[RO]]</calculatedColumnFormula>
      <totalsRowFormula>SUM(Table24[RO])</totalsRowFormula>
    </tableColumn>
    <tableColumn id="29" name="SE" totalsRowFunction="custom" dataDxfId="6" dataCellStyle="Percent">
      <calculatedColumnFormula>Table2[[#This Row],[SE]]/Table2[[#Totals],[SE]]</calculatedColumnFormula>
      <totalsRowFormula>SUM(Table24[SE])</totalsRowFormula>
    </tableColumn>
    <tableColumn id="30" name="SK" totalsRowFunction="custom" dataDxfId="5" dataCellStyle="Percent">
      <calculatedColumnFormula>Table2[[#This Row],[SK]]/Table2[[#Totals],[SK]]</calculatedColumnFormula>
      <totalsRowFormula>SUM(Table24[SK])</totalsRowFormula>
    </tableColumn>
    <tableColumn id="31" name="UK" totalsRowFunction="custom" dataDxfId="4" dataCellStyle="Percent">
      <calculatedColumnFormula>Table2[[#This Row],[UK]]/Table2[[#Totals],[UK]]</calculatedColumnFormula>
      <totalsRowFormula>SUM(Table24[UK])</totalsRowFormula>
    </tableColumn>
    <tableColumn id="32" name="Mean" dataDxfId="3" dataCellStyle="Percent">
      <calculatedColumnFormula>AVERAGE(Table24[[#This Row],[AT]:[UK]])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1:AG22" totalsRowShown="0">
  <autoFilter ref="A1:AG22"/>
  <tableColumns count="33">
    <tableColumn id="1" name="NACE1D_label"/>
    <tableColumn id="2" name="AT"/>
    <tableColumn id="3" name="BE"/>
    <tableColumn id="4" name="BG"/>
    <tableColumn id="5" name="CH"/>
    <tableColumn id="6" name="CY"/>
    <tableColumn id="7" name="CZ"/>
    <tableColumn id="8" name="DE"/>
    <tableColumn id="9" name="DK"/>
    <tableColumn id="10" name="EE"/>
    <tableColumn id="11" name="ES"/>
    <tableColumn id="12" name="FI"/>
    <tableColumn id="13" name="FR"/>
    <tableColumn id="14" name="GR"/>
    <tableColumn id="15" name="HR"/>
    <tableColumn id="16" name="HU"/>
    <tableColumn id="17" name="IE"/>
    <tableColumn id="18" name="IS"/>
    <tableColumn id="19" name="IT"/>
    <tableColumn id="20" name="LT"/>
    <tableColumn id="21" name="LU"/>
    <tableColumn id="22" name="LV"/>
    <tableColumn id="23" name="MT"/>
    <tableColumn id="24" name="NL"/>
    <tableColumn id="25" name="NO"/>
    <tableColumn id="26" name="PL"/>
    <tableColumn id="27" name="PT"/>
    <tableColumn id="28" name="RO"/>
    <tableColumn id="29" name="SE"/>
    <tableColumn id="30" name="SK"/>
    <tableColumn id="31" name="UK"/>
    <tableColumn id="32" name="Mean" dataDxfId="2">
      <calculatedColumnFormula>AVERAGE(Table1[[#This Row],[AT]:[UK]])</calculatedColumnFormula>
    </tableColumn>
    <tableColumn id="33" name="SD" dataDxfId="1">
      <calculatedColumnFormula>_xlfn.STDEV.S(Table1[[#This Row],[AT]:[UK]])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3"/>
  <sheetViews>
    <sheetView workbookViewId="0">
      <selection activeCell="I23" sqref="I23"/>
    </sheetView>
  </sheetViews>
  <sheetFormatPr defaultRowHeight="15" x14ac:dyDescent="0.25"/>
  <cols>
    <col min="1" max="1" width="67.7109375" customWidth="1"/>
    <col min="2" max="2" width="6" bestFit="1" customWidth="1"/>
    <col min="3" max="3" width="5.42578125" bestFit="1" customWidth="1"/>
    <col min="4" max="4" width="5.85546875" bestFit="1" customWidth="1"/>
    <col min="5" max="5" width="5.7109375" bestFit="1" customWidth="1"/>
    <col min="6" max="6" width="5.5703125" bestFit="1" customWidth="1"/>
    <col min="7" max="7" width="5.42578125" bestFit="1" customWidth="1"/>
    <col min="8" max="8" width="6" bestFit="1" customWidth="1"/>
    <col min="9" max="9" width="5.7109375" bestFit="1" customWidth="1"/>
    <col min="10" max="11" width="5.28515625" bestFit="1" customWidth="1"/>
    <col min="12" max="12" width="5" bestFit="1" customWidth="1"/>
    <col min="13" max="13" width="5.42578125" style="9" bestFit="1" customWidth="1"/>
    <col min="14" max="14" width="6" bestFit="1" customWidth="1"/>
    <col min="15" max="15" width="5.7109375" bestFit="1" customWidth="1"/>
    <col min="16" max="16" width="6" bestFit="1" customWidth="1"/>
    <col min="17" max="18" width="5" bestFit="1" customWidth="1"/>
    <col min="19" max="19" width="6" bestFit="1" customWidth="1"/>
    <col min="20" max="20" width="5.140625" bestFit="1" customWidth="1"/>
    <col min="21" max="21" width="5.5703125" bestFit="1" customWidth="1"/>
    <col min="22" max="22" width="5.42578125" bestFit="1" customWidth="1"/>
    <col min="23" max="23" width="6.140625" bestFit="1" customWidth="1"/>
    <col min="24" max="24" width="5.5703125" bestFit="1" customWidth="1"/>
    <col min="25" max="25" width="6.140625" bestFit="1" customWidth="1"/>
    <col min="26" max="26" width="6" bestFit="1" customWidth="1"/>
    <col min="27" max="27" width="5.42578125" bestFit="1" customWidth="1"/>
    <col min="28" max="29" width="6" bestFit="1" customWidth="1"/>
    <col min="30" max="30" width="5.42578125" bestFit="1" customWidth="1"/>
    <col min="31" max="31" width="5.85546875" bestFit="1" customWidth="1"/>
  </cols>
  <sheetData>
    <row r="1" spans="1:3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 x14ac:dyDescent="0.25">
      <c r="A2" t="s">
        <v>31</v>
      </c>
      <c r="B2">
        <v>5474</v>
      </c>
      <c r="C2">
        <v>735</v>
      </c>
      <c r="D2">
        <v>792</v>
      </c>
      <c r="E2">
        <v>1406</v>
      </c>
      <c r="F2">
        <v>1532</v>
      </c>
      <c r="G2">
        <v>581</v>
      </c>
      <c r="H2">
        <v>9243</v>
      </c>
      <c r="I2">
        <v>1999</v>
      </c>
      <c r="J2">
        <v>589</v>
      </c>
      <c r="K2">
        <v>2886</v>
      </c>
      <c r="L2">
        <v>383</v>
      </c>
      <c r="M2" s="9">
        <v>1139</v>
      </c>
      <c r="N2">
        <v>7526</v>
      </c>
      <c r="O2">
        <v>180</v>
      </c>
      <c r="P2">
        <v>3063</v>
      </c>
      <c r="Q2">
        <v>4381</v>
      </c>
      <c r="R2">
        <v>447</v>
      </c>
      <c r="S2">
        <v>13381</v>
      </c>
      <c r="T2">
        <v>782</v>
      </c>
      <c r="U2">
        <v>172</v>
      </c>
      <c r="V2">
        <v>118</v>
      </c>
      <c r="W2">
        <v>571</v>
      </c>
      <c r="X2">
        <v>1740</v>
      </c>
      <c r="Y2">
        <v>457</v>
      </c>
      <c r="Z2">
        <v>2327</v>
      </c>
      <c r="AA2">
        <v>4938</v>
      </c>
      <c r="AB2">
        <v>2257</v>
      </c>
      <c r="AC2">
        <v>1933</v>
      </c>
      <c r="AD2">
        <v>1412</v>
      </c>
      <c r="AE2">
        <v>1955</v>
      </c>
    </row>
    <row r="3" spans="1:31" x14ac:dyDescent="0.25">
      <c r="A3" t="s">
        <v>32</v>
      </c>
      <c r="B3">
        <v>81</v>
      </c>
      <c r="C3">
        <v>212</v>
      </c>
      <c r="D3">
        <v>1</v>
      </c>
      <c r="E3">
        <v>52</v>
      </c>
      <c r="F3">
        <v>76</v>
      </c>
      <c r="G3">
        <v>1</v>
      </c>
      <c r="H3">
        <v>113</v>
      </c>
      <c r="I3">
        <v>24</v>
      </c>
      <c r="J3">
        <v>6</v>
      </c>
      <c r="K3">
        <v>1</v>
      </c>
      <c r="L3">
        <v>3</v>
      </c>
      <c r="M3" s="9">
        <v>22</v>
      </c>
      <c r="N3">
        <v>74</v>
      </c>
      <c r="O3">
        <v>1</v>
      </c>
      <c r="P3">
        <v>11</v>
      </c>
      <c r="Q3">
        <v>15</v>
      </c>
      <c r="R3">
        <v>2</v>
      </c>
      <c r="S3">
        <v>99</v>
      </c>
      <c r="T3">
        <v>0</v>
      </c>
      <c r="U3">
        <v>277</v>
      </c>
      <c r="V3">
        <v>0</v>
      </c>
      <c r="W3">
        <v>4</v>
      </c>
      <c r="X3">
        <v>2</v>
      </c>
      <c r="Y3">
        <v>3</v>
      </c>
      <c r="Z3">
        <v>3</v>
      </c>
      <c r="AA3">
        <v>39</v>
      </c>
      <c r="AB3">
        <v>4</v>
      </c>
      <c r="AC3">
        <v>10</v>
      </c>
      <c r="AD3">
        <v>15</v>
      </c>
      <c r="AE3">
        <v>48</v>
      </c>
    </row>
    <row r="4" spans="1:31" x14ac:dyDescent="0.25">
      <c r="A4" t="s">
        <v>33</v>
      </c>
      <c r="B4">
        <v>136</v>
      </c>
      <c r="C4">
        <v>15</v>
      </c>
      <c r="D4">
        <v>32</v>
      </c>
      <c r="E4">
        <v>464</v>
      </c>
      <c r="F4">
        <v>888</v>
      </c>
      <c r="G4">
        <v>148</v>
      </c>
      <c r="H4">
        <v>1315</v>
      </c>
      <c r="I4">
        <v>27</v>
      </c>
      <c r="J4">
        <v>1</v>
      </c>
      <c r="K4">
        <v>973</v>
      </c>
      <c r="L4">
        <v>34</v>
      </c>
      <c r="M4" s="9">
        <v>426</v>
      </c>
      <c r="N4">
        <v>451</v>
      </c>
      <c r="O4">
        <v>2</v>
      </c>
      <c r="P4">
        <v>48</v>
      </c>
      <c r="Q4">
        <v>197</v>
      </c>
      <c r="R4">
        <v>0</v>
      </c>
      <c r="S4">
        <v>6328</v>
      </c>
      <c r="T4">
        <v>20</v>
      </c>
      <c r="U4">
        <v>66</v>
      </c>
      <c r="V4">
        <v>3</v>
      </c>
      <c r="W4">
        <v>39</v>
      </c>
      <c r="X4">
        <v>52</v>
      </c>
      <c r="Y4">
        <v>1</v>
      </c>
      <c r="Z4">
        <v>121</v>
      </c>
      <c r="AA4">
        <v>1745</v>
      </c>
      <c r="AB4">
        <v>196</v>
      </c>
      <c r="AC4">
        <v>3</v>
      </c>
      <c r="AD4">
        <v>3</v>
      </c>
      <c r="AE4">
        <v>56</v>
      </c>
    </row>
    <row r="5" spans="1:31" x14ac:dyDescent="0.25">
      <c r="A5" t="s">
        <v>34</v>
      </c>
      <c r="B5">
        <v>2866</v>
      </c>
      <c r="C5">
        <v>1215</v>
      </c>
      <c r="D5">
        <v>581</v>
      </c>
      <c r="E5">
        <v>1253</v>
      </c>
      <c r="F5">
        <v>536</v>
      </c>
      <c r="G5">
        <v>426</v>
      </c>
      <c r="H5">
        <v>13029</v>
      </c>
      <c r="I5">
        <v>1927</v>
      </c>
      <c r="J5">
        <v>479</v>
      </c>
      <c r="K5">
        <v>1851</v>
      </c>
      <c r="L5">
        <v>471</v>
      </c>
      <c r="M5" s="9">
        <v>1240</v>
      </c>
      <c r="N5">
        <v>1601</v>
      </c>
      <c r="O5">
        <v>75</v>
      </c>
      <c r="P5">
        <v>2188</v>
      </c>
      <c r="Q5">
        <v>2897</v>
      </c>
      <c r="R5">
        <v>302</v>
      </c>
      <c r="S5">
        <v>8594</v>
      </c>
      <c r="T5">
        <v>1086</v>
      </c>
      <c r="U5">
        <v>145</v>
      </c>
      <c r="V5">
        <v>125</v>
      </c>
      <c r="W5">
        <v>431</v>
      </c>
      <c r="X5">
        <v>2026</v>
      </c>
      <c r="Y5">
        <v>614</v>
      </c>
      <c r="Z5">
        <v>2718</v>
      </c>
      <c r="AA5">
        <v>2215</v>
      </c>
      <c r="AB5">
        <v>2390</v>
      </c>
      <c r="AC5">
        <v>2970</v>
      </c>
      <c r="AD5">
        <v>842</v>
      </c>
      <c r="AE5">
        <v>1762</v>
      </c>
    </row>
    <row r="6" spans="1:31" s="2" customFormat="1" x14ac:dyDescent="0.25">
      <c r="A6" s="6" t="s">
        <v>35</v>
      </c>
      <c r="B6" s="6">
        <v>2992</v>
      </c>
      <c r="C6" s="6">
        <v>239</v>
      </c>
      <c r="D6" s="6">
        <v>1142</v>
      </c>
      <c r="E6" s="6">
        <v>966</v>
      </c>
      <c r="F6" s="6">
        <v>466</v>
      </c>
      <c r="G6" s="6">
        <v>519</v>
      </c>
      <c r="H6" s="6">
        <v>3186</v>
      </c>
      <c r="I6" s="6">
        <v>1055</v>
      </c>
      <c r="J6" s="6">
        <v>533</v>
      </c>
      <c r="K6" s="6">
        <v>1729</v>
      </c>
      <c r="L6" s="6">
        <v>439</v>
      </c>
      <c r="M6" s="10">
        <v>882</v>
      </c>
      <c r="N6" s="6">
        <v>13035</v>
      </c>
      <c r="O6" s="6">
        <v>270</v>
      </c>
      <c r="P6" s="6">
        <v>5749</v>
      </c>
      <c r="Q6" s="6">
        <v>3074</v>
      </c>
      <c r="R6" s="6">
        <v>369</v>
      </c>
      <c r="S6" s="6">
        <v>8770</v>
      </c>
      <c r="T6" s="6">
        <v>1742</v>
      </c>
      <c r="U6" s="6">
        <v>40</v>
      </c>
      <c r="V6" s="6">
        <v>325</v>
      </c>
      <c r="W6" s="6">
        <v>113</v>
      </c>
      <c r="X6" s="6">
        <v>720</v>
      </c>
      <c r="Y6" s="6">
        <v>311</v>
      </c>
      <c r="Z6" s="6">
        <v>9259</v>
      </c>
      <c r="AA6" s="6">
        <v>4406</v>
      </c>
      <c r="AB6" s="6">
        <v>23356</v>
      </c>
      <c r="AC6" s="6">
        <v>1043</v>
      </c>
      <c r="AD6" s="6">
        <v>1048</v>
      </c>
      <c r="AE6" s="6">
        <v>463</v>
      </c>
    </row>
    <row r="7" spans="1:31" x14ac:dyDescent="0.25">
      <c r="A7" t="s">
        <v>36</v>
      </c>
      <c r="B7">
        <v>1391</v>
      </c>
      <c r="C7">
        <v>273</v>
      </c>
      <c r="D7">
        <v>225</v>
      </c>
      <c r="E7">
        <v>654</v>
      </c>
      <c r="F7">
        <v>320</v>
      </c>
      <c r="G7">
        <v>276</v>
      </c>
      <c r="H7">
        <v>3627</v>
      </c>
      <c r="I7">
        <v>1228</v>
      </c>
      <c r="J7">
        <v>430</v>
      </c>
      <c r="K7">
        <v>760</v>
      </c>
      <c r="L7">
        <v>291</v>
      </c>
      <c r="M7" s="9">
        <v>497</v>
      </c>
      <c r="N7">
        <v>887</v>
      </c>
      <c r="O7">
        <v>60</v>
      </c>
      <c r="P7">
        <v>1172</v>
      </c>
      <c r="Q7">
        <v>1461</v>
      </c>
      <c r="R7">
        <v>313</v>
      </c>
      <c r="S7">
        <v>2679</v>
      </c>
      <c r="T7">
        <v>605</v>
      </c>
      <c r="U7">
        <v>56</v>
      </c>
      <c r="V7">
        <v>112</v>
      </c>
      <c r="W7">
        <v>359</v>
      </c>
      <c r="X7">
        <v>839</v>
      </c>
      <c r="Y7">
        <v>311</v>
      </c>
      <c r="Z7">
        <v>1380</v>
      </c>
      <c r="AA7">
        <v>937</v>
      </c>
      <c r="AB7">
        <v>598</v>
      </c>
      <c r="AC7">
        <v>1801</v>
      </c>
      <c r="AD7">
        <v>499</v>
      </c>
      <c r="AE7">
        <v>968</v>
      </c>
    </row>
    <row r="8" spans="1:31" x14ac:dyDescent="0.25">
      <c r="A8" t="s">
        <v>37</v>
      </c>
      <c r="B8">
        <v>7212</v>
      </c>
      <c r="C8">
        <v>1445</v>
      </c>
      <c r="D8">
        <v>1092</v>
      </c>
      <c r="E8">
        <v>2191</v>
      </c>
      <c r="F8">
        <v>1679</v>
      </c>
      <c r="G8">
        <v>1198</v>
      </c>
      <c r="H8">
        <v>17448</v>
      </c>
      <c r="I8">
        <v>2822</v>
      </c>
      <c r="J8">
        <v>1088</v>
      </c>
      <c r="K8">
        <v>2379</v>
      </c>
      <c r="L8">
        <v>848</v>
      </c>
      <c r="M8" s="9">
        <v>2053</v>
      </c>
      <c r="N8">
        <v>2860</v>
      </c>
      <c r="O8">
        <v>219</v>
      </c>
      <c r="P8">
        <v>6379</v>
      </c>
      <c r="Q8">
        <v>4007</v>
      </c>
      <c r="R8">
        <v>582</v>
      </c>
      <c r="S8">
        <v>11749</v>
      </c>
      <c r="T8">
        <v>2124</v>
      </c>
      <c r="U8">
        <v>244</v>
      </c>
      <c r="V8">
        <v>300</v>
      </c>
      <c r="W8">
        <v>519</v>
      </c>
      <c r="X8">
        <v>1783</v>
      </c>
      <c r="Y8">
        <v>1188</v>
      </c>
      <c r="Z8">
        <v>6989</v>
      </c>
      <c r="AA8">
        <v>4054</v>
      </c>
      <c r="AB8">
        <v>6988</v>
      </c>
      <c r="AC8">
        <v>4537</v>
      </c>
      <c r="AD8">
        <v>2891</v>
      </c>
      <c r="AE8">
        <v>2786</v>
      </c>
    </row>
    <row r="9" spans="1:31" x14ac:dyDescent="0.25">
      <c r="A9" s="5" t="s">
        <v>38</v>
      </c>
      <c r="B9" s="5">
        <v>5818</v>
      </c>
      <c r="C9" s="5">
        <v>1940</v>
      </c>
      <c r="D9" s="5">
        <v>924</v>
      </c>
      <c r="E9" s="5">
        <v>3411</v>
      </c>
      <c r="F9" s="5">
        <v>1352</v>
      </c>
      <c r="G9" s="5">
        <v>1244</v>
      </c>
      <c r="H9" s="5">
        <v>18239</v>
      </c>
      <c r="I9" s="5">
        <v>4534</v>
      </c>
      <c r="J9" s="5">
        <v>1494</v>
      </c>
      <c r="K9" s="5">
        <v>2885</v>
      </c>
      <c r="L9" s="5">
        <v>844</v>
      </c>
      <c r="M9" s="11">
        <v>2553</v>
      </c>
      <c r="N9" s="5">
        <v>5968</v>
      </c>
      <c r="O9" s="5">
        <v>244</v>
      </c>
      <c r="P9" s="5">
        <v>6147</v>
      </c>
      <c r="Q9" s="5">
        <v>5357</v>
      </c>
      <c r="R9" s="5">
        <v>1242</v>
      </c>
      <c r="S9" s="5">
        <v>14867</v>
      </c>
      <c r="T9" s="5">
        <v>3341</v>
      </c>
      <c r="U9" s="5">
        <v>396</v>
      </c>
      <c r="V9" s="5">
        <v>430</v>
      </c>
      <c r="W9" s="5">
        <v>941</v>
      </c>
      <c r="X9" s="5">
        <v>3275</v>
      </c>
      <c r="Y9" s="5">
        <v>1213</v>
      </c>
      <c r="Z9" s="5">
        <v>8504</v>
      </c>
      <c r="AA9" s="5">
        <v>5944</v>
      </c>
      <c r="AB9" s="5">
        <v>4006</v>
      </c>
      <c r="AC9" s="5">
        <v>8316</v>
      </c>
      <c r="AD9" s="5">
        <v>3074</v>
      </c>
      <c r="AE9" s="5">
        <v>4024</v>
      </c>
    </row>
    <row r="10" spans="1:31" s="1" customFormat="1" x14ac:dyDescent="0.25">
      <c r="A10" s="4" t="s">
        <v>39</v>
      </c>
      <c r="B10" s="4">
        <v>602</v>
      </c>
      <c r="C10" s="4">
        <v>120</v>
      </c>
      <c r="D10" s="4">
        <v>203</v>
      </c>
      <c r="E10" s="4">
        <v>233</v>
      </c>
      <c r="F10" s="4">
        <v>97</v>
      </c>
      <c r="G10" s="4">
        <v>186</v>
      </c>
      <c r="H10" s="4">
        <v>2089</v>
      </c>
      <c r="I10" s="4">
        <v>281</v>
      </c>
      <c r="J10" s="4">
        <v>127</v>
      </c>
      <c r="K10" s="4">
        <v>164</v>
      </c>
      <c r="L10" s="4">
        <v>59</v>
      </c>
      <c r="M10" s="12">
        <v>219</v>
      </c>
      <c r="N10" s="4">
        <v>579</v>
      </c>
      <c r="O10" s="4">
        <v>40</v>
      </c>
      <c r="P10" s="4">
        <v>622</v>
      </c>
      <c r="Q10" s="4">
        <v>401</v>
      </c>
      <c r="R10" s="4">
        <v>89</v>
      </c>
      <c r="S10" s="4">
        <v>1019</v>
      </c>
      <c r="T10" s="4">
        <v>241</v>
      </c>
      <c r="U10" s="4">
        <v>26</v>
      </c>
      <c r="V10" s="4">
        <v>47</v>
      </c>
      <c r="W10" s="4">
        <v>4</v>
      </c>
      <c r="X10" s="4">
        <v>173</v>
      </c>
      <c r="Y10" s="4">
        <v>101</v>
      </c>
      <c r="Z10" s="4">
        <v>1011</v>
      </c>
      <c r="AA10" s="4">
        <v>277</v>
      </c>
      <c r="AB10" s="4">
        <v>970</v>
      </c>
      <c r="AC10" s="4">
        <v>398</v>
      </c>
      <c r="AD10" s="4">
        <v>405</v>
      </c>
      <c r="AE10" s="4">
        <v>224</v>
      </c>
    </row>
    <row r="11" spans="1:31" x14ac:dyDescent="0.25">
      <c r="A11" t="s">
        <v>40</v>
      </c>
      <c r="B11">
        <v>2621</v>
      </c>
      <c r="C11">
        <v>557</v>
      </c>
      <c r="D11">
        <v>257</v>
      </c>
      <c r="E11">
        <v>2199</v>
      </c>
      <c r="F11">
        <v>912</v>
      </c>
      <c r="G11">
        <v>313</v>
      </c>
      <c r="H11">
        <v>8081</v>
      </c>
      <c r="I11">
        <v>1294</v>
      </c>
      <c r="J11">
        <v>236</v>
      </c>
      <c r="K11">
        <v>782</v>
      </c>
      <c r="L11">
        <v>213</v>
      </c>
      <c r="M11" s="9">
        <v>1009</v>
      </c>
      <c r="N11">
        <v>1251</v>
      </c>
      <c r="O11">
        <v>88</v>
      </c>
      <c r="P11">
        <v>1004</v>
      </c>
      <c r="Q11">
        <v>2821</v>
      </c>
      <c r="R11">
        <v>340</v>
      </c>
      <c r="S11">
        <v>5086</v>
      </c>
      <c r="T11">
        <v>418</v>
      </c>
      <c r="U11">
        <v>475</v>
      </c>
      <c r="V11">
        <v>57</v>
      </c>
      <c r="W11">
        <v>444</v>
      </c>
      <c r="X11">
        <v>1280</v>
      </c>
      <c r="Y11">
        <v>271</v>
      </c>
      <c r="Z11">
        <v>2248</v>
      </c>
      <c r="AA11">
        <v>1120</v>
      </c>
      <c r="AB11">
        <v>1157</v>
      </c>
      <c r="AC11">
        <v>1345</v>
      </c>
      <c r="AD11">
        <v>714</v>
      </c>
      <c r="AE11">
        <v>1392</v>
      </c>
    </row>
    <row r="12" spans="1:31" x14ac:dyDescent="0.25">
      <c r="A12" t="s">
        <v>41</v>
      </c>
      <c r="B12">
        <v>9563</v>
      </c>
      <c r="C12">
        <v>2933</v>
      </c>
      <c r="D12">
        <v>833</v>
      </c>
      <c r="E12">
        <v>6258</v>
      </c>
      <c r="F12">
        <v>923</v>
      </c>
      <c r="G12">
        <v>1402</v>
      </c>
      <c r="H12">
        <v>35646</v>
      </c>
      <c r="I12">
        <v>9340</v>
      </c>
      <c r="J12">
        <v>977</v>
      </c>
      <c r="K12">
        <v>3666</v>
      </c>
      <c r="L12">
        <v>1918</v>
      </c>
      <c r="M12" s="9">
        <v>4653</v>
      </c>
      <c r="N12">
        <v>4358</v>
      </c>
      <c r="O12">
        <v>229</v>
      </c>
      <c r="P12">
        <v>6103</v>
      </c>
      <c r="Q12">
        <v>8182</v>
      </c>
      <c r="R12">
        <v>1077</v>
      </c>
      <c r="S12">
        <v>17133</v>
      </c>
      <c r="T12">
        <v>2338</v>
      </c>
      <c r="U12">
        <v>555</v>
      </c>
      <c r="V12">
        <v>275</v>
      </c>
      <c r="W12">
        <v>858</v>
      </c>
      <c r="X12">
        <v>7128</v>
      </c>
      <c r="Y12">
        <v>2977</v>
      </c>
      <c r="Z12">
        <v>6680</v>
      </c>
      <c r="AA12">
        <v>6169</v>
      </c>
      <c r="AB12">
        <v>4477</v>
      </c>
      <c r="AC12">
        <v>10719</v>
      </c>
      <c r="AD12">
        <v>2695</v>
      </c>
      <c r="AE12">
        <v>5447</v>
      </c>
    </row>
    <row r="13" spans="1:31" x14ac:dyDescent="0.25">
      <c r="A13" s="5" t="s">
        <v>42</v>
      </c>
      <c r="B13" s="5">
        <v>2172</v>
      </c>
      <c r="C13" s="5">
        <v>583</v>
      </c>
      <c r="D13" s="5">
        <v>352</v>
      </c>
      <c r="E13" s="5">
        <v>1439</v>
      </c>
      <c r="F13" s="5">
        <v>452</v>
      </c>
      <c r="G13" s="5">
        <v>410</v>
      </c>
      <c r="H13" s="5">
        <v>8344</v>
      </c>
      <c r="I13" s="5">
        <v>1805</v>
      </c>
      <c r="J13" s="5">
        <v>581</v>
      </c>
      <c r="K13" s="5">
        <v>915</v>
      </c>
      <c r="L13" s="5">
        <v>488</v>
      </c>
      <c r="M13" s="11">
        <v>857</v>
      </c>
      <c r="N13" s="5">
        <v>1368</v>
      </c>
      <c r="O13" s="5">
        <v>105</v>
      </c>
      <c r="P13" s="5">
        <v>1391</v>
      </c>
      <c r="Q13" s="5">
        <v>2988</v>
      </c>
      <c r="R13" s="5">
        <v>375</v>
      </c>
      <c r="S13" s="5">
        <v>4465</v>
      </c>
      <c r="T13" s="5">
        <v>597</v>
      </c>
      <c r="U13" s="5">
        <v>175</v>
      </c>
      <c r="V13" s="5">
        <v>76</v>
      </c>
      <c r="W13" s="5">
        <v>332</v>
      </c>
      <c r="X13" s="5">
        <v>1445</v>
      </c>
      <c r="Y13" s="5">
        <v>503</v>
      </c>
      <c r="Z13" s="5">
        <v>2326</v>
      </c>
      <c r="AA13" s="5">
        <v>1318</v>
      </c>
      <c r="AB13" s="5">
        <v>1432</v>
      </c>
      <c r="AC13" s="5">
        <v>3261</v>
      </c>
      <c r="AD13" s="5">
        <v>943</v>
      </c>
      <c r="AE13" s="5">
        <v>1486</v>
      </c>
    </row>
    <row r="14" spans="1:31" s="2" customFormat="1" x14ac:dyDescent="0.25">
      <c r="A14" s="6" t="s">
        <v>43</v>
      </c>
      <c r="B14" s="6">
        <v>13974</v>
      </c>
      <c r="C14" s="6">
        <v>2254</v>
      </c>
      <c r="D14" s="6">
        <v>2874</v>
      </c>
      <c r="E14" s="6">
        <v>4948</v>
      </c>
      <c r="F14" s="6">
        <v>1250</v>
      </c>
      <c r="G14" s="6">
        <v>4850</v>
      </c>
      <c r="H14" s="6">
        <v>50290</v>
      </c>
      <c r="I14" s="6">
        <v>5243</v>
      </c>
      <c r="J14" s="6">
        <v>2613</v>
      </c>
      <c r="K14" s="6">
        <v>4986</v>
      </c>
      <c r="L14" s="6">
        <v>1460</v>
      </c>
      <c r="M14" s="10">
        <v>3637</v>
      </c>
      <c r="N14" s="6">
        <v>6668</v>
      </c>
      <c r="O14" s="6">
        <v>620</v>
      </c>
      <c r="P14" s="6">
        <v>20497</v>
      </c>
      <c r="Q14" s="6">
        <v>6847</v>
      </c>
      <c r="R14" s="6">
        <v>833</v>
      </c>
      <c r="S14" s="6">
        <v>35046</v>
      </c>
      <c r="T14" s="6">
        <v>4685</v>
      </c>
      <c r="U14" s="6">
        <v>163</v>
      </c>
      <c r="V14" s="6">
        <v>571</v>
      </c>
      <c r="W14" s="6">
        <v>1070</v>
      </c>
      <c r="X14" s="6">
        <v>3789</v>
      </c>
      <c r="Y14" s="6">
        <v>1115</v>
      </c>
      <c r="Z14" s="6">
        <v>18937</v>
      </c>
      <c r="AA14" s="6">
        <v>9052</v>
      </c>
      <c r="AB14" s="6">
        <v>19705</v>
      </c>
      <c r="AC14" s="6">
        <v>6710</v>
      </c>
      <c r="AD14" s="6">
        <v>8462</v>
      </c>
      <c r="AE14" s="6">
        <v>3642</v>
      </c>
    </row>
    <row r="15" spans="1:31" s="2" customFormat="1" x14ac:dyDescent="0.25">
      <c r="A15" s="2" t="s">
        <v>44</v>
      </c>
      <c r="B15" s="2">
        <v>138</v>
      </c>
      <c r="C15" s="2">
        <v>12</v>
      </c>
      <c r="D15" s="2">
        <v>174</v>
      </c>
      <c r="E15" s="2">
        <v>21</v>
      </c>
      <c r="F15" s="2">
        <v>33</v>
      </c>
      <c r="G15" s="2">
        <v>104</v>
      </c>
      <c r="H15" s="2">
        <v>448</v>
      </c>
      <c r="I15" s="2">
        <v>82</v>
      </c>
      <c r="J15" s="2">
        <v>110</v>
      </c>
      <c r="K15" s="2">
        <v>71</v>
      </c>
      <c r="L15" s="2">
        <v>35</v>
      </c>
      <c r="M15" s="13">
        <v>26</v>
      </c>
      <c r="N15" s="2">
        <v>317</v>
      </c>
      <c r="O15" s="2">
        <v>10</v>
      </c>
      <c r="P15" s="2">
        <v>259</v>
      </c>
      <c r="Q15" s="2">
        <v>205</v>
      </c>
      <c r="R15" s="2">
        <v>9</v>
      </c>
      <c r="S15" s="2">
        <v>260</v>
      </c>
      <c r="T15" s="2">
        <v>54</v>
      </c>
      <c r="U15" s="2">
        <v>1</v>
      </c>
      <c r="V15" s="2">
        <v>16</v>
      </c>
      <c r="W15" s="2">
        <v>10</v>
      </c>
      <c r="X15" s="2">
        <v>35</v>
      </c>
      <c r="Y15" s="2">
        <v>346</v>
      </c>
      <c r="Z15" s="2">
        <v>859</v>
      </c>
      <c r="AA15" s="2">
        <v>188</v>
      </c>
      <c r="AB15" s="2">
        <v>782</v>
      </c>
      <c r="AC15" s="2">
        <v>124</v>
      </c>
      <c r="AD15" s="2">
        <v>130</v>
      </c>
      <c r="AE15" s="2">
        <v>138</v>
      </c>
    </row>
    <row r="16" spans="1:31" x14ac:dyDescent="0.25">
      <c r="A16" s="5" t="s">
        <v>45</v>
      </c>
      <c r="B16" s="5">
        <v>2292</v>
      </c>
      <c r="C16" s="5">
        <v>451</v>
      </c>
      <c r="D16" s="5">
        <v>228</v>
      </c>
      <c r="E16" s="5">
        <v>1257</v>
      </c>
      <c r="F16" s="5">
        <v>534</v>
      </c>
      <c r="G16" s="5">
        <v>331</v>
      </c>
      <c r="H16" s="5">
        <v>7428</v>
      </c>
      <c r="I16" s="5">
        <v>1308</v>
      </c>
      <c r="J16" s="5">
        <v>303</v>
      </c>
      <c r="K16" s="5">
        <v>895</v>
      </c>
      <c r="L16" s="5">
        <v>358</v>
      </c>
      <c r="M16" s="11">
        <v>803</v>
      </c>
      <c r="N16" s="5">
        <v>1471</v>
      </c>
      <c r="O16" s="5">
        <v>67</v>
      </c>
      <c r="P16" s="5">
        <v>1577</v>
      </c>
      <c r="Q16" s="5">
        <v>1529</v>
      </c>
      <c r="R16" s="5">
        <v>209</v>
      </c>
      <c r="S16" s="5">
        <v>5987</v>
      </c>
      <c r="T16" s="5">
        <v>754</v>
      </c>
      <c r="U16" s="5">
        <v>112</v>
      </c>
      <c r="V16" s="5">
        <v>51</v>
      </c>
      <c r="W16" s="5">
        <v>190</v>
      </c>
      <c r="X16" s="5">
        <v>803</v>
      </c>
      <c r="Y16" s="5">
        <v>299</v>
      </c>
      <c r="Z16" s="5">
        <v>1651</v>
      </c>
      <c r="AA16" s="5">
        <v>1562</v>
      </c>
      <c r="AB16" s="5">
        <v>1547</v>
      </c>
      <c r="AC16" s="5">
        <v>1699</v>
      </c>
      <c r="AD16" s="5">
        <v>528</v>
      </c>
      <c r="AE16" s="5">
        <v>1144</v>
      </c>
    </row>
    <row r="17" spans="1:31" x14ac:dyDescent="0.25">
      <c r="A17" t="s">
        <v>46</v>
      </c>
      <c r="B17">
        <v>4939</v>
      </c>
      <c r="C17">
        <v>1025</v>
      </c>
      <c r="D17">
        <v>444</v>
      </c>
      <c r="E17">
        <v>3695</v>
      </c>
      <c r="F17">
        <v>1376</v>
      </c>
      <c r="G17">
        <v>752</v>
      </c>
      <c r="H17">
        <v>15354</v>
      </c>
      <c r="I17">
        <v>2848</v>
      </c>
      <c r="J17">
        <v>686</v>
      </c>
      <c r="K17">
        <v>1835</v>
      </c>
      <c r="L17">
        <v>769</v>
      </c>
      <c r="M17" s="9">
        <v>1725</v>
      </c>
      <c r="N17">
        <v>3416</v>
      </c>
      <c r="O17">
        <v>125</v>
      </c>
      <c r="P17">
        <v>2101</v>
      </c>
      <c r="Q17">
        <v>3763</v>
      </c>
      <c r="R17">
        <v>647</v>
      </c>
      <c r="S17">
        <v>12117</v>
      </c>
      <c r="T17">
        <v>1170</v>
      </c>
      <c r="U17">
        <v>389</v>
      </c>
      <c r="V17">
        <v>110</v>
      </c>
      <c r="W17">
        <v>449</v>
      </c>
      <c r="X17">
        <v>3075</v>
      </c>
      <c r="Y17">
        <v>801</v>
      </c>
      <c r="Z17">
        <v>3573</v>
      </c>
      <c r="AA17">
        <v>2491</v>
      </c>
      <c r="AB17">
        <v>1975</v>
      </c>
      <c r="AC17">
        <v>5926</v>
      </c>
      <c r="AD17">
        <v>1201</v>
      </c>
      <c r="AE17">
        <v>2795</v>
      </c>
    </row>
    <row r="18" spans="1:31" x14ac:dyDescent="0.25">
      <c r="A18" t="s">
        <v>47</v>
      </c>
      <c r="B18">
        <v>5696</v>
      </c>
      <c r="C18">
        <v>1577</v>
      </c>
      <c r="D18">
        <v>948</v>
      </c>
      <c r="E18">
        <v>2106</v>
      </c>
      <c r="F18">
        <v>1160</v>
      </c>
      <c r="G18">
        <v>1050</v>
      </c>
      <c r="H18">
        <v>17704</v>
      </c>
      <c r="I18">
        <v>2284</v>
      </c>
      <c r="J18">
        <v>881</v>
      </c>
      <c r="K18">
        <v>2843</v>
      </c>
      <c r="L18">
        <v>506</v>
      </c>
      <c r="M18" s="9">
        <v>2852</v>
      </c>
      <c r="N18">
        <v>5507</v>
      </c>
      <c r="O18">
        <v>203</v>
      </c>
      <c r="P18">
        <v>8198</v>
      </c>
      <c r="Q18">
        <v>3208</v>
      </c>
      <c r="R18">
        <v>534</v>
      </c>
      <c r="S18">
        <v>9930</v>
      </c>
      <c r="T18">
        <v>1675</v>
      </c>
      <c r="U18">
        <v>587</v>
      </c>
      <c r="V18">
        <v>292</v>
      </c>
      <c r="W18">
        <v>653</v>
      </c>
      <c r="X18">
        <v>2796</v>
      </c>
      <c r="Y18">
        <v>862</v>
      </c>
      <c r="Z18">
        <v>6233</v>
      </c>
      <c r="AA18">
        <v>4576</v>
      </c>
      <c r="AB18">
        <v>3770</v>
      </c>
      <c r="AC18">
        <v>5014</v>
      </c>
      <c r="AD18">
        <v>3033</v>
      </c>
      <c r="AE18">
        <v>2433</v>
      </c>
    </row>
    <row r="19" spans="1:31" x14ac:dyDescent="0.25">
      <c r="A19" t="s">
        <v>48</v>
      </c>
      <c r="B19">
        <v>720</v>
      </c>
      <c r="C19">
        <v>166</v>
      </c>
      <c r="D19">
        <v>45</v>
      </c>
      <c r="E19">
        <v>471</v>
      </c>
      <c r="F19">
        <v>113</v>
      </c>
      <c r="G19">
        <v>127</v>
      </c>
      <c r="H19">
        <v>1335</v>
      </c>
      <c r="I19">
        <v>702</v>
      </c>
      <c r="J19">
        <v>250</v>
      </c>
      <c r="K19">
        <v>232</v>
      </c>
      <c r="L19">
        <v>108</v>
      </c>
      <c r="M19" s="9">
        <v>337</v>
      </c>
      <c r="N19">
        <v>89</v>
      </c>
      <c r="O19">
        <v>9</v>
      </c>
      <c r="P19">
        <v>320</v>
      </c>
      <c r="Q19">
        <v>258</v>
      </c>
      <c r="R19">
        <v>65</v>
      </c>
      <c r="S19">
        <v>1229</v>
      </c>
      <c r="T19">
        <v>288</v>
      </c>
      <c r="U19">
        <v>34</v>
      </c>
      <c r="V19">
        <v>86</v>
      </c>
      <c r="W19">
        <v>95</v>
      </c>
      <c r="X19">
        <v>311</v>
      </c>
      <c r="Y19">
        <v>137</v>
      </c>
      <c r="Z19">
        <v>1050</v>
      </c>
      <c r="AA19">
        <v>670</v>
      </c>
      <c r="AB19">
        <v>198</v>
      </c>
      <c r="AC19">
        <v>1109</v>
      </c>
      <c r="AD19">
        <v>235</v>
      </c>
      <c r="AE19">
        <v>440</v>
      </c>
    </row>
    <row r="20" spans="1:31" s="2" customFormat="1" x14ac:dyDescent="0.25">
      <c r="A20" s="2" t="s">
        <v>49</v>
      </c>
      <c r="B20" s="2">
        <v>4297</v>
      </c>
      <c r="C20" s="2">
        <v>1040</v>
      </c>
      <c r="D20" s="2">
        <v>906</v>
      </c>
      <c r="E20" s="2">
        <v>1635</v>
      </c>
      <c r="F20" s="2">
        <v>757</v>
      </c>
      <c r="G20" s="2">
        <v>1104</v>
      </c>
      <c r="H20" s="2">
        <v>13074</v>
      </c>
      <c r="I20" s="2">
        <v>1964</v>
      </c>
      <c r="J20" s="2">
        <v>997</v>
      </c>
      <c r="K20" s="2">
        <v>1819</v>
      </c>
      <c r="L20" s="2">
        <v>656</v>
      </c>
      <c r="M20" s="13">
        <v>1574</v>
      </c>
      <c r="N20" s="2">
        <v>3577</v>
      </c>
      <c r="O20" s="2">
        <v>182</v>
      </c>
      <c r="P20" s="2">
        <v>5171</v>
      </c>
      <c r="Q20" s="2">
        <v>2984</v>
      </c>
      <c r="R20" s="2">
        <v>563</v>
      </c>
      <c r="S20" s="2">
        <v>9362</v>
      </c>
      <c r="T20" s="2">
        <v>2154</v>
      </c>
      <c r="U20" s="2">
        <v>202</v>
      </c>
      <c r="V20" s="2">
        <v>308</v>
      </c>
      <c r="W20" s="2">
        <v>515</v>
      </c>
      <c r="X20" s="2">
        <v>1763</v>
      </c>
      <c r="Y20" s="2">
        <v>686</v>
      </c>
      <c r="Z20" s="2">
        <v>5731</v>
      </c>
      <c r="AA20" s="2">
        <v>2775</v>
      </c>
      <c r="AB20" s="2">
        <v>5561</v>
      </c>
      <c r="AC20" s="2">
        <v>3094</v>
      </c>
      <c r="AD20" s="2">
        <v>2387</v>
      </c>
      <c r="AE20" s="2">
        <v>1903</v>
      </c>
    </row>
    <row r="21" spans="1:31" x14ac:dyDescent="0.25">
      <c r="A21" t="s">
        <v>50</v>
      </c>
      <c r="B21">
        <v>403</v>
      </c>
      <c r="C21">
        <v>160</v>
      </c>
      <c r="D21">
        <v>156</v>
      </c>
      <c r="E21">
        <v>122</v>
      </c>
      <c r="F21">
        <v>142</v>
      </c>
      <c r="G21">
        <v>216</v>
      </c>
      <c r="H21">
        <v>1656</v>
      </c>
      <c r="I21">
        <v>272</v>
      </c>
      <c r="J21">
        <v>65</v>
      </c>
      <c r="K21">
        <v>284</v>
      </c>
      <c r="L21">
        <v>45</v>
      </c>
      <c r="M21" s="9">
        <v>228</v>
      </c>
      <c r="N21">
        <v>584</v>
      </c>
      <c r="O21">
        <v>64</v>
      </c>
      <c r="P21">
        <v>1162</v>
      </c>
      <c r="Q21">
        <v>339</v>
      </c>
      <c r="R21">
        <v>33</v>
      </c>
      <c r="S21">
        <v>2099</v>
      </c>
      <c r="T21">
        <v>443</v>
      </c>
      <c r="U21">
        <v>13</v>
      </c>
      <c r="V21">
        <v>25</v>
      </c>
      <c r="W21">
        <v>105</v>
      </c>
      <c r="X21">
        <v>178</v>
      </c>
      <c r="Y21">
        <v>67</v>
      </c>
      <c r="Z21">
        <v>1100</v>
      </c>
      <c r="AA21">
        <v>558</v>
      </c>
      <c r="AB21">
        <v>1175</v>
      </c>
      <c r="AC21">
        <v>347</v>
      </c>
      <c r="AD21">
        <v>354</v>
      </c>
      <c r="AE21">
        <v>262</v>
      </c>
    </row>
    <row r="22" spans="1:31" x14ac:dyDescent="0.25">
      <c r="A22" t="s">
        <v>51</v>
      </c>
      <c r="B22">
        <v>12669</v>
      </c>
      <c r="C22">
        <v>2505</v>
      </c>
      <c r="D22">
        <v>2240</v>
      </c>
      <c r="E22">
        <v>4647</v>
      </c>
      <c r="F22">
        <v>3171</v>
      </c>
      <c r="G22">
        <v>1905</v>
      </c>
      <c r="H22">
        <v>36325</v>
      </c>
      <c r="I22">
        <v>7795</v>
      </c>
      <c r="J22">
        <v>1904</v>
      </c>
      <c r="K22">
        <v>5816</v>
      </c>
      <c r="L22">
        <v>1226</v>
      </c>
      <c r="M22" s="9">
        <v>3857</v>
      </c>
      <c r="N22">
        <v>12500</v>
      </c>
      <c r="O22">
        <v>424</v>
      </c>
      <c r="P22">
        <v>9331</v>
      </c>
      <c r="Q22">
        <v>8231</v>
      </c>
      <c r="R22">
        <v>1056</v>
      </c>
      <c r="S22">
        <v>27602</v>
      </c>
      <c r="T22">
        <v>4797</v>
      </c>
      <c r="U22">
        <v>339</v>
      </c>
      <c r="V22">
        <v>581</v>
      </c>
      <c r="W22">
        <v>1438</v>
      </c>
      <c r="X22">
        <v>6059</v>
      </c>
      <c r="Y22">
        <v>1872</v>
      </c>
      <c r="Z22">
        <v>13776</v>
      </c>
      <c r="AA22">
        <v>9120</v>
      </c>
      <c r="AB22">
        <v>14422</v>
      </c>
      <c r="AC22">
        <v>7104</v>
      </c>
      <c r="AD22">
        <v>4280</v>
      </c>
      <c r="AE22">
        <v>4818</v>
      </c>
    </row>
    <row r="23" spans="1:31" x14ac:dyDescent="0.25">
      <c r="B23">
        <f>SUM(Table2[AT])</f>
        <v>86056</v>
      </c>
      <c r="C23">
        <f>SUM(Table2[BE])</f>
        <v>19457</v>
      </c>
      <c r="D23">
        <f>SUM(Table2[BG])</f>
        <v>14449</v>
      </c>
      <c r="E23">
        <f>SUM(Table2[CH])</f>
        <v>39428</v>
      </c>
      <c r="F23">
        <f>SUM(Table2[CY])</f>
        <v>17769</v>
      </c>
      <c r="G23">
        <f>SUM(Table2[CZ])</f>
        <v>17143</v>
      </c>
      <c r="H23">
        <f>SUM(Table2[DE])</f>
        <v>263974</v>
      </c>
      <c r="I23">
        <f>SUM(Table2[DK])</f>
        <v>48834</v>
      </c>
      <c r="J23">
        <f>SUM(Table2[EE])</f>
        <v>14350</v>
      </c>
      <c r="K23">
        <f>SUM(Table2[ES])</f>
        <v>37772</v>
      </c>
      <c r="L23">
        <f>SUM(Table2[FI])</f>
        <v>11154</v>
      </c>
      <c r="M23" s="9">
        <f>SUM(Table2[FR])</f>
        <v>30589</v>
      </c>
      <c r="N23">
        <f>SUM(Table2[GR])</f>
        <v>74087</v>
      </c>
      <c r="O23">
        <f>SUM(Table2[HR])</f>
        <v>3217</v>
      </c>
      <c r="P23">
        <f>SUM(Table2[HU])</f>
        <v>82493</v>
      </c>
      <c r="Q23">
        <f>SUM(Table2[IE])</f>
        <v>63145</v>
      </c>
      <c r="R23">
        <f>SUM(Table2[IS])</f>
        <v>9087</v>
      </c>
      <c r="S23">
        <f>SUM(Table2[IT])</f>
        <v>197802</v>
      </c>
      <c r="T23">
        <f>SUM(Table2[LT])</f>
        <v>29314</v>
      </c>
      <c r="U23">
        <f>SUM(Table2[LU])</f>
        <v>4467</v>
      </c>
      <c r="V23">
        <f>SUM(Table2[LV])</f>
        <v>3908</v>
      </c>
      <c r="W23">
        <f>SUM(Table2[MT])</f>
        <v>9140</v>
      </c>
      <c r="X23">
        <f>SUM(Table2[NL])</f>
        <v>39272</v>
      </c>
      <c r="Y23">
        <f>SUM(Table2[NO])</f>
        <v>14135</v>
      </c>
      <c r="Z23">
        <f>SUM(Table2[PL])</f>
        <v>96476</v>
      </c>
      <c r="AA23">
        <f>SUM(Table2[PT])</f>
        <v>64154</v>
      </c>
      <c r="AB23">
        <f>SUM(Table2[RO])</f>
        <v>96966</v>
      </c>
      <c r="AC23">
        <f>SUM(Table2[SE])</f>
        <v>67463</v>
      </c>
      <c r="AD23">
        <f>SUM(Table2[SK])</f>
        <v>35151</v>
      </c>
      <c r="AE23">
        <f>SUM(Table2[UK])</f>
        <v>38186</v>
      </c>
    </row>
  </sheetData>
  <conditionalFormatting sqref="B2:AE2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"/>
  <sheetViews>
    <sheetView workbookViewId="0">
      <selection activeCell="AF10" sqref="AF10"/>
    </sheetView>
  </sheetViews>
  <sheetFormatPr defaultRowHeight="15" x14ac:dyDescent="0.25"/>
  <cols>
    <col min="1" max="1" width="66.140625" customWidth="1"/>
    <col min="2" max="22" width="6.140625" bestFit="1" customWidth="1"/>
    <col min="23" max="23" width="6.28515625" bestFit="1" customWidth="1"/>
    <col min="24" max="24" width="6.140625" bestFit="1" customWidth="1"/>
    <col min="25" max="25" width="6.28515625" bestFit="1" customWidth="1"/>
    <col min="26" max="31" width="6.140625" bestFit="1" customWidth="1"/>
  </cols>
  <sheetData>
    <row r="1" spans="1:3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52</v>
      </c>
    </row>
    <row r="2" spans="1:32" x14ac:dyDescent="0.25">
      <c r="A2" t="s">
        <v>31</v>
      </c>
      <c r="B2" s="7">
        <f>Table2[[#This Row],[AT]]/Table2[[#Totals],[AT]]</f>
        <v>6.3609742493260207E-2</v>
      </c>
      <c r="C2" s="7">
        <f>Table2[[#This Row],[BE]]/Table2[[#Totals],[BE]]</f>
        <v>3.777560775042401E-2</v>
      </c>
      <c r="D2" s="7">
        <f>Table2[[#This Row],[BG]]/Table2[[#Totals],[BG]]</f>
        <v>5.4813481901861721E-2</v>
      </c>
      <c r="E2" s="7">
        <f>Table2[[#This Row],[CH]]/Table2[[#Totals],[CH]]</f>
        <v>3.5659937100537692E-2</v>
      </c>
      <c r="F2" s="7">
        <f>Table2[[#This Row],[CY]]/Table2[[#Totals],[CY]]</f>
        <v>8.6217569925150547E-2</v>
      </c>
      <c r="G2" s="7">
        <f>Table2[[#This Row],[CZ]]/Table2[[#Totals],[CZ]]</f>
        <v>3.3891384238464682E-2</v>
      </c>
      <c r="H2" s="7">
        <f>Table2[[#This Row],[DE]]/Table2[[#Totals],[DE]]</f>
        <v>3.5014812064824569E-2</v>
      </c>
      <c r="I2" s="7">
        <f>Table2[[#This Row],[DK]]/Table2[[#Totals],[DK]]</f>
        <v>4.0934594749559731E-2</v>
      </c>
      <c r="J2" s="7">
        <f>Table2[[#This Row],[EE]]/Table2[[#Totals],[EE]]</f>
        <v>4.1045296167247385E-2</v>
      </c>
      <c r="K2" s="7">
        <f>Table2[[#This Row],[ES]]/Table2[[#Totals],[ES]]</f>
        <v>7.6405803240495604E-2</v>
      </c>
      <c r="L2" s="7">
        <f>Table2[[#This Row],[FI]]/Table2[[#Totals],[FI]]</f>
        <v>3.433745741438049E-2</v>
      </c>
      <c r="M2" s="7">
        <f>Table2[[#This Row],[FR]]/Table2[[#Totals],[FR]]</f>
        <v>3.723560757134918E-2</v>
      </c>
      <c r="N2" s="7">
        <f>Table2[[#This Row],[GR]]/Table2[[#Totals],[GR]]</f>
        <v>0.10158327371873609</v>
      </c>
      <c r="O2" s="7">
        <f>Table2[[#This Row],[HR]]/Table2[[#Totals],[HR]]</f>
        <v>5.5952751010258005E-2</v>
      </c>
      <c r="P2" s="7">
        <f>Table2[[#This Row],[HU]]/Table2[[#Totals],[HU]]</f>
        <v>3.7130423187421963E-2</v>
      </c>
      <c r="Q2" s="7">
        <f>Table2[[#This Row],[IE]]/Table2[[#Totals],[IE]]</f>
        <v>6.9379998416343333E-2</v>
      </c>
      <c r="R2" s="7">
        <f>Table2[[#This Row],[IS]]/Table2[[#Totals],[IS]]</f>
        <v>4.9191152195444038E-2</v>
      </c>
      <c r="S2" s="7">
        <f>Table2[[#This Row],[IT]]/Table2[[#Totals],[IT]]</f>
        <v>6.7648456537345428E-2</v>
      </c>
      <c r="T2" s="7">
        <f>Table2[[#This Row],[LT]]/Table2[[#Totals],[LT]]</f>
        <v>2.6676673261922631E-2</v>
      </c>
      <c r="U2" s="7">
        <f>Table2[[#This Row],[LU]]/Table2[[#Totals],[LU]]</f>
        <v>3.8504589209760465E-2</v>
      </c>
      <c r="V2" s="7">
        <f>Table2[[#This Row],[LV]]/Table2[[#Totals],[LV]]</f>
        <v>3.0194472876151485E-2</v>
      </c>
      <c r="W2" s="7">
        <f>Table2[[#This Row],[MT]]/Table2[[#Totals],[MT]]</f>
        <v>6.2472647702407E-2</v>
      </c>
      <c r="X2" s="7">
        <f>Table2[[#This Row],[NL]]/Table2[[#Totals],[NL]]</f>
        <v>4.4306376044000811E-2</v>
      </c>
      <c r="Y2" s="7">
        <f>Table2[[#This Row],[NO]]/Table2[[#Totals],[NO]]</f>
        <v>3.2331093031482135E-2</v>
      </c>
      <c r="Z2" s="7">
        <f>Table2[[#This Row],[PL]]/Table2[[#Totals],[PL]]</f>
        <v>2.4119988390895145E-2</v>
      </c>
      <c r="AA2" s="7">
        <f>Table2[[#This Row],[PT]]/Table2[[#Totals],[PT]]</f>
        <v>7.6971038438756745E-2</v>
      </c>
      <c r="AB2" s="7">
        <f>Table2[[#This Row],[RO]]/Table2[[#Totals],[RO]]</f>
        <v>2.3276199905121382E-2</v>
      </c>
      <c r="AC2" s="7">
        <f>Table2[[#This Row],[SE]]/Table2[[#Totals],[SE]]</f>
        <v>2.8652742985043653E-2</v>
      </c>
      <c r="AD2" s="7">
        <f>Table2[[#This Row],[SK]]/Table2[[#Totals],[SK]]</f>
        <v>4.0169554208984097E-2</v>
      </c>
      <c r="AE2" s="7">
        <f>Table2[[#This Row],[UK]]/Table2[[#Totals],[UK]]</f>
        <v>5.1196773686691455E-2</v>
      </c>
      <c r="AF2" s="7">
        <f>AVERAGE(Table24[[#This Row],[AT]:[UK]])</f>
        <v>4.7889983314144048E-2</v>
      </c>
    </row>
    <row r="3" spans="1:32" x14ac:dyDescent="0.25">
      <c r="A3" t="s">
        <v>32</v>
      </c>
      <c r="B3" s="7">
        <f>Table2[[#This Row],[AT]]/Table2[[#Totals],[AT]]</f>
        <v>9.4124755972854887E-4</v>
      </c>
      <c r="C3" s="7">
        <f>Table2[[#This Row],[BE]]/Table2[[#Totals],[BE]]</f>
        <v>1.089582155522434E-2</v>
      </c>
      <c r="D3" s="7">
        <f>Table2[[#This Row],[BG]]/Table2[[#Totals],[BG]]</f>
        <v>6.9208941795279952E-5</v>
      </c>
      <c r="E3" s="7">
        <f>Table2[[#This Row],[CH]]/Table2[[#Totals],[CH]]</f>
        <v>1.3188596936187481E-3</v>
      </c>
      <c r="F3" s="7">
        <f>Table2[[#This Row],[CY]]/Table2[[#Totals],[CY]]</f>
        <v>4.2771118239630819E-3</v>
      </c>
      <c r="G3" s="7">
        <f>Table2[[#This Row],[CZ]]/Table2[[#Totals],[CZ]]</f>
        <v>5.8332847226273116E-5</v>
      </c>
      <c r="H3" s="7">
        <f>Table2[[#This Row],[DE]]/Table2[[#Totals],[DE]]</f>
        <v>4.2807246168183229E-4</v>
      </c>
      <c r="I3" s="7">
        <f>Table2[[#This Row],[DK]]/Table2[[#Totals],[DK]]</f>
        <v>4.9146086742843105E-4</v>
      </c>
      <c r="J3" s="7">
        <f>Table2[[#This Row],[EE]]/Table2[[#Totals],[EE]]</f>
        <v>4.181184668989547E-4</v>
      </c>
      <c r="K3" s="7">
        <f>Table2[[#This Row],[ES]]/Table2[[#Totals],[ES]]</f>
        <v>2.6474637297469023E-5</v>
      </c>
      <c r="L3" s="7">
        <f>Table2[[#This Row],[FI]]/Table2[[#Totals],[FI]]</f>
        <v>2.6896180742334586E-4</v>
      </c>
      <c r="M3" s="7">
        <f>Table2[[#This Row],[FR]]/Table2[[#Totals],[FR]]</f>
        <v>7.1921278891104641E-4</v>
      </c>
      <c r="N3" s="7">
        <f>Table2[[#This Row],[GR]]/Table2[[#Totals],[GR]]</f>
        <v>9.9882570491449251E-4</v>
      </c>
      <c r="O3" s="7">
        <f>Table2[[#This Row],[HR]]/Table2[[#Totals],[HR]]</f>
        <v>3.1084861672365556E-4</v>
      </c>
      <c r="P3" s="7">
        <f>Table2[[#This Row],[HU]]/Table2[[#Totals],[HU]]</f>
        <v>1.3334464742462997E-4</v>
      </c>
      <c r="Q3" s="7">
        <f>Table2[[#This Row],[IE]]/Table2[[#Totals],[IE]]</f>
        <v>2.3754849948531159E-4</v>
      </c>
      <c r="R3" s="7">
        <f>Table2[[#This Row],[IS]]/Table2[[#Totals],[IS]]</f>
        <v>2.2009464069549907E-4</v>
      </c>
      <c r="S3" s="7">
        <f>Table2[[#This Row],[IT]]/Table2[[#Totals],[IT]]</f>
        <v>5.005005005005005E-4</v>
      </c>
      <c r="T3" s="7">
        <f>Table2[[#This Row],[LT]]/Table2[[#Totals],[LT]]</f>
        <v>0</v>
      </c>
      <c r="U3" s="7">
        <f>Table2[[#This Row],[LU]]/Table2[[#Totals],[LU]]</f>
        <v>6.2010297738974707E-2</v>
      </c>
      <c r="V3" s="7">
        <f>Table2[[#This Row],[LV]]/Table2[[#Totals],[LV]]</f>
        <v>0</v>
      </c>
      <c r="W3" s="7">
        <f>Table2[[#This Row],[MT]]/Table2[[#Totals],[MT]]</f>
        <v>4.3763676148796501E-4</v>
      </c>
      <c r="X3" s="7">
        <f>Table2[[#This Row],[NL]]/Table2[[#Totals],[NL]]</f>
        <v>5.0926869016092891E-5</v>
      </c>
      <c r="Y3" s="7">
        <f>Table2[[#This Row],[NO]]/Table2[[#Totals],[NO]]</f>
        <v>2.1223912274495932E-4</v>
      </c>
      <c r="Z3" s="7">
        <f>Table2[[#This Row],[PL]]/Table2[[#Totals],[PL]]</f>
        <v>3.1095816576143291E-5</v>
      </c>
      <c r="AA3" s="7">
        <f>Table2[[#This Row],[PT]]/Table2[[#Totals],[PT]]</f>
        <v>6.0791221124169965E-4</v>
      </c>
      <c r="AB3" s="7">
        <f>Table2[[#This Row],[RO]]/Table2[[#Totals],[RO]]</f>
        <v>4.1251572716209806E-5</v>
      </c>
      <c r="AC3" s="7">
        <f>Table2[[#This Row],[SE]]/Table2[[#Totals],[SE]]</f>
        <v>1.4822939981916014E-4</v>
      </c>
      <c r="AD3" s="7">
        <f>Table2[[#This Row],[SK]]/Table2[[#Totals],[SK]]</f>
        <v>4.2673039173849961E-4</v>
      </c>
      <c r="AE3" s="7">
        <f>Table2[[#This Row],[UK]]/Table2[[#Totals],[UK]]</f>
        <v>1.2570051851463887E-3</v>
      </c>
      <c r="AF3" s="7">
        <f>AVERAGE(Table24[[#This Row],[AT]:[UK]])</f>
        <v>2.9179123710134426E-3</v>
      </c>
    </row>
    <row r="4" spans="1:32" x14ac:dyDescent="0.25">
      <c r="A4" t="s">
        <v>33</v>
      </c>
      <c r="B4" s="7">
        <f>Table2[[#This Row],[AT]]/Table2[[#Totals],[AT]]</f>
        <v>1.5803662731244772E-3</v>
      </c>
      <c r="C4" s="7">
        <f>Table2[[#This Row],[BE]]/Table2[[#Totals],[BE]]</f>
        <v>7.7093077041681657E-4</v>
      </c>
      <c r="D4" s="7">
        <f>Table2[[#This Row],[BG]]/Table2[[#Totals],[BG]]</f>
        <v>2.2146861374489585E-3</v>
      </c>
      <c r="E4" s="7">
        <f>Table2[[#This Row],[CH]]/Table2[[#Totals],[CH]]</f>
        <v>1.1768286496905752E-2</v>
      </c>
      <c r="F4" s="7">
        <f>Table2[[#This Row],[CY]]/Table2[[#Totals],[CY]]</f>
        <v>4.9974674995779164E-2</v>
      </c>
      <c r="G4" s="7">
        <f>Table2[[#This Row],[CZ]]/Table2[[#Totals],[CZ]]</f>
        <v>8.6332613894884204E-3</v>
      </c>
      <c r="H4" s="7">
        <f>Table2[[#This Row],[DE]]/Table2[[#Totals],[DE]]</f>
        <v>4.9815512133770754E-3</v>
      </c>
      <c r="I4" s="7">
        <f>Table2[[#This Row],[DK]]/Table2[[#Totals],[DK]]</f>
        <v>5.5289347585698494E-4</v>
      </c>
      <c r="J4" s="7">
        <f>Table2[[#This Row],[EE]]/Table2[[#Totals],[EE]]</f>
        <v>6.9686411149825784E-5</v>
      </c>
      <c r="K4" s="7">
        <f>Table2[[#This Row],[ES]]/Table2[[#Totals],[ES]]</f>
        <v>2.5759822090437361E-2</v>
      </c>
      <c r="L4" s="7">
        <f>Table2[[#This Row],[FI]]/Table2[[#Totals],[FI]]</f>
        <v>3.0482338174645865E-3</v>
      </c>
      <c r="M4" s="7">
        <f>Table2[[#This Row],[FR]]/Table2[[#Totals],[FR]]</f>
        <v>1.3926574912550263E-2</v>
      </c>
      <c r="N4" s="7">
        <f>Table2[[#This Row],[GR]]/Table2[[#Totals],[GR]]</f>
        <v>6.0874377421140007E-3</v>
      </c>
      <c r="O4" s="7">
        <f>Table2[[#This Row],[HR]]/Table2[[#Totals],[HR]]</f>
        <v>6.2169723344731112E-4</v>
      </c>
      <c r="P4" s="7">
        <f>Table2[[#This Row],[HU]]/Table2[[#Totals],[HU]]</f>
        <v>5.818675523983853E-4</v>
      </c>
      <c r="Q4" s="7">
        <f>Table2[[#This Row],[IE]]/Table2[[#Totals],[IE]]</f>
        <v>3.119803626573759E-3</v>
      </c>
      <c r="R4" s="7">
        <f>Table2[[#This Row],[IS]]/Table2[[#Totals],[IS]]</f>
        <v>0</v>
      </c>
      <c r="S4" s="7">
        <f>Table2[[#This Row],[IT]]/Table2[[#Totals],[IT]]</f>
        <v>3.1991587547143104E-2</v>
      </c>
      <c r="T4" s="7">
        <f>Table2[[#This Row],[LT]]/Table2[[#Totals],[LT]]</f>
        <v>6.8226785836119264E-4</v>
      </c>
      <c r="U4" s="7">
        <f>Table2[[#This Row],[LU]]/Table2[[#Totals],[LU]]</f>
        <v>1.4775016789791807E-2</v>
      </c>
      <c r="V4" s="7">
        <f>Table2[[#This Row],[LV]]/Table2[[#Totals],[LV]]</f>
        <v>7.6765609007164786E-4</v>
      </c>
      <c r="W4" s="7">
        <f>Table2[[#This Row],[MT]]/Table2[[#Totals],[MT]]</f>
        <v>4.2669584245076586E-3</v>
      </c>
      <c r="X4" s="7">
        <f>Table2[[#This Row],[NL]]/Table2[[#Totals],[NL]]</f>
        <v>1.3240985944184152E-3</v>
      </c>
      <c r="Y4" s="7">
        <f>Table2[[#This Row],[NO]]/Table2[[#Totals],[NO]]</f>
        <v>7.074637424831977E-5</v>
      </c>
      <c r="Z4" s="7">
        <f>Table2[[#This Row],[PL]]/Table2[[#Totals],[PL]]</f>
        <v>1.2541979352377794E-3</v>
      </c>
      <c r="AA4" s="7">
        <f>Table2[[#This Row],[PT]]/Table2[[#Totals],[PT]]</f>
        <v>2.7200174579917073E-2</v>
      </c>
      <c r="AB4" s="7">
        <f>Table2[[#This Row],[RO]]/Table2[[#Totals],[RO]]</f>
        <v>2.0213270630942805E-3</v>
      </c>
      <c r="AC4" s="7">
        <f>Table2[[#This Row],[SE]]/Table2[[#Totals],[SE]]</f>
        <v>4.4468819945748039E-5</v>
      </c>
      <c r="AD4" s="7">
        <f>Table2[[#This Row],[SK]]/Table2[[#Totals],[SK]]</f>
        <v>8.5346078347699929E-5</v>
      </c>
      <c r="AE4" s="7">
        <f>Table2[[#This Row],[UK]]/Table2[[#Totals],[UK]]</f>
        <v>1.4665060493374534E-3</v>
      </c>
      <c r="AF4" s="7">
        <f>AVERAGE(Table24[[#This Row],[AT]:[UK]])</f>
        <v>7.3214042114318461E-3</v>
      </c>
    </row>
    <row r="5" spans="1:32" x14ac:dyDescent="0.25">
      <c r="A5" t="s">
        <v>34</v>
      </c>
      <c r="B5" s="7">
        <f>Table2[[#This Row],[AT]]/Table2[[#Totals],[AT]]</f>
        <v>3.3303895138049641E-2</v>
      </c>
      <c r="C5" s="7">
        <f>Table2[[#This Row],[BE]]/Table2[[#Totals],[BE]]</f>
        <v>6.2445392403762144E-2</v>
      </c>
      <c r="D5" s="7">
        <f>Table2[[#This Row],[BG]]/Table2[[#Totals],[BG]]</f>
        <v>4.0210395183057648E-2</v>
      </c>
      <c r="E5" s="7">
        <f>Table2[[#This Row],[CH]]/Table2[[#Totals],[CH]]</f>
        <v>3.1779446078928679E-2</v>
      </c>
      <c r="F5" s="7">
        <f>Table2[[#This Row],[CY]]/Table2[[#Totals],[CY]]</f>
        <v>3.016489391637121E-2</v>
      </c>
      <c r="G5" s="7">
        <f>Table2[[#This Row],[CZ]]/Table2[[#Totals],[CZ]]</f>
        <v>2.4849792918392347E-2</v>
      </c>
      <c r="H5" s="7">
        <f>Table2[[#This Row],[DE]]/Table2[[#Totals],[DE]]</f>
        <v>4.9357133657102592E-2</v>
      </c>
      <c r="I5" s="7">
        <f>Table2[[#This Row],[DK]]/Table2[[#Totals],[DK]]</f>
        <v>3.9460212147274437E-2</v>
      </c>
      <c r="J5" s="7">
        <f>Table2[[#This Row],[EE]]/Table2[[#Totals],[EE]]</f>
        <v>3.3379790940766547E-2</v>
      </c>
      <c r="K5" s="7">
        <f>Table2[[#This Row],[ES]]/Table2[[#Totals],[ES]]</f>
        <v>4.9004553637615161E-2</v>
      </c>
      <c r="L5" s="7">
        <f>Table2[[#This Row],[FI]]/Table2[[#Totals],[FI]]</f>
        <v>4.2227003765465301E-2</v>
      </c>
      <c r="M5" s="7">
        <f>Table2[[#This Row],[FR]]/Table2[[#Totals],[FR]]</f>
        <v>4.0537448102258983E-2</v>
      </c>
      <c r="N5" s="7">
        <f>Table2[[#This Row],[GR]]/Table2[[#Totals],[GR]]</f>
        <v>2.1609729102271654E-2</v>
      </c>
      <c r="O5" s="7">
        <f>Table2[[#This Row],[HR]]/Table2[[#Totals],[HR]]</f>
        <v>2.3313646254274168E-2</v>
      </c>
      <c r="P5" s="7">
        <f>Table2[[#This Row],[HU]]/Table2[[#Totals],[HU]]</f>
        <v>2.6523462596826398E-2</v>
      </c>
      <c r="Q5" s="7">
        <f>Table2[[#This Row],[IE]]/Table2[[#Totals],[IE]]</f>
        <v>4.5878533533929844E-2</v>
      </c>
      <c r="R5" s="7">
        <f>Table2[[#This Row],[IS]]/Table2[[#Totals],[IS]]</f>
        <v>3.3234290745020358E-2</v>
      </c>
      <c r="S5" s="7">
        <f>Table2[[#This Row],[IT]]/Table2[[#Totals],[IT]]</f>
        <v>4.3447487891932333E-2</v>
      </c>
      <c r="T5" s="7">
        <f>Table2[[#This Row],[LT]]/Table2[[#Totals],[LT]]</f>
        <v>3.7047144709012755E-2</v>
      </c>
      <c r="U5" s="7">
        <f>Table2[[#This Row],[LU]]/Table2[[#Totals],[LU]]</f>
        <v>3.2460264159391093E-2</v>
      </c>
      <c r="V5" s="7">
        <f>Table2[[#This Row],[LV]]/Table2[[#Totals],[LV]]</f>
        <v>3.1985670419651994E-2</v>
      </c>
      <c r="W5" s="7">
        <f>Table2[[#This Row],[MT]]/Table2[[#Totals],[MT]]</f>
        <v>4.7155361050328228E-2</v>
      </c>
      <c r="X5" s="7">
        <f>Table2[[#This Row],[NL]]/Table2[[#Totals],[NL]]</f>
        <v>5.1588918313302097E-2</v>
      </c>
      <c r="Y5" s="7">
        <f>Table2[[#This Row],[NO]]/Table2[[#Totals],[NO]]</f>
        <v>4.3438273788468339E-2</v>
      </c>
      <c r="Z5" s="7">
        <f>Table2[[#This Row],[PL]]/Table2[[#Totals],[PL]]</f>
        <v>2.8172809817985821E-2</v>
      </c>
      <c r="AA5" s="7">
        <f>Table2[[#This Row],[PT]]/Table2[[#Totals],[PT]]</f>
        <v>3.4526296100009353E-2</v>
      </c>
      <c r="AB5" s="7">
        <f>Table2[[#This Row],[RO]]/Table2[[#Totals],[RO]]</f>
        <v>2.4647814697935359E-2</v>
      </c>
      <c r="AC5" s="7">
        <f>Table2[[#This Row],[SE]]/Table2[[#Totals],[SE]]</f>
        <v>4.4024131746290558E-2</v>
      </c>
      <c r="AD5" s="7">
        <f>Table2[[#This Row],[SK]]/Table2[[#Totals],[SK]]</f>
        <v>2.3953799322921111E-2</v>
      </c>
      <c r="AE5" s="7">
        <f>Table2[[#This Row],[UK]]/Table2[[#Totals],[UK]]</f>
        <v>4.6142565338082017E-2</v>
      </c>
      <c r="AF5" s="7">
        <f>AVERAGE(Table24[[#This Row],[AT]:[UK]])</f>
        <v>3.7195671915889274E-2</v>
      </c>
    </row>
    <row r="6" spans="1:32" x14ac:dyDescent="0.25">
      <c r="A6" s="6" t="s">
        <v>35</v>
      </c>
      <c r="B6" s="7">
        <f>Table2[[#This Row],[AT]]/Table2[[#Totals],[AT]]</f>
        <v>3.4768058008738494E-2</v>
      </c>
      <c r="C6" s="7">
        <f>Table2[[#This Row],[BE]]/Table2[[#Totals],[BE]]</f>
        <v>1.2283496941974611E-2</v>
      </c>
      <c r="D6" s="7">
        <f>Table2[[#This Row],[BG]]/Table2[[#Totals],[BG]]</f>
        <v>7.9036611530209702E-2</v>
      </c>
      <c r="E6" s="7">
        <f>Table2[[#This Row],[CH]]/Table2[[#Totals],[CH]]</f>
        <v>2.4500355077609819E-2</v>
      </c>
      <c r="F6" s="7">
        <f>Table2[[#This Row],[CY]]/Table2[[#Totals],[CY]]</f>
        <v>2.6225448815352579E-2</v>
      </c>
      <c r="G6" s="7">
        <f>Table2[[#This Row],[CZ]]/Table2[[#Totals],[CZ]]</f>
        <v>3.0274747710435746E-2</v>
      </c>
      <c r="H6" s="7">
        <f>Table2[[#This Row],[DE]]/Table2[[#Totals],[DE]]</f>
        <v>1.2069370468303697E-2</v>
      </c>
      <c r="I6" s="7">
        <f>Table2[[#This Row],[DK]]/Table2[[#Totals],[DK]]</f>
        <v>2.1603800630708114E-2</v>
      </c>
      <c r="J6" s="7">
        <f>Table2[[#This Row],[EE]]/Table2[[#Totals],[EE]]</f>
        <v>3.7142857142857144E-2</v>
      </c>
      <c r="K6" s="7">
        <f>Table2[[#This Row],[ES]]/Table2[[#Totals],[ES]]</f>
        <v>4.5774647887323945E-2</v>
      </c>
      <c r="L6" s="7">
        <f>Table2[[#This Row],[FI]]/Table2[[#Totals],[FI]]</f>
        <v>3.9358077819616283E-2</v>
      </c>
      <c r="M6" s="7">
        <f>Table2[[#This Row],[FR]]/Table2[[#Totals],[FR]]</f>
        <v>2.8833894537251954E-2</v>
      </c>
      <c r="N6" s="7">
        <f>Table2[[#This Row],[GR]]/Table2[[#Totals],[GR]]</f>
        <v>0.17594179815622174</v>
      </c>
      <c r="O6" s="7">
        <f>Table2[[#This Row],[HR]]/Table2[[#Totals],[HR]]</f>
        <v>8.3929126515387004E-2</v>
      </c>
      <c r="P6" s="7">
        <f>Table2[[#This Row],[HU]]/Table2[[#Totals],[HU]]</f>
        <v>6.9690761640381613E-2</v>
      </c>
      <c r="Q6" s="7">
        <f>Table2[[#This Row],[IE]]/Table2[[#Totals],[IE]]</f>
        <v>4.8681605827856522E-2</v>
      </c>
      <c r="R6" s="7">
        <f>Table2[[#This Row],[IS]]/Table2[[#Totals],[IS]]</f>
        <v>4.0607461208319574E-2</v>
      </c>
      <c r="S6" s="7">
        <f>Table2[[#This Row],[IT]]/Table2[[#Totals],[IT]]</f>
        <v>4.4337266559488782E-2</v>
      </c>
      <c r="T6" s="7">
        <f>Table2[[#This Row],[LT]]/Table2[[#Totals],[LT]]</f>
        <v>5.9425530463259879E-2</v>
      </c>
      <c r="U6" s="7">
        <f>Table2[[#This Row],[LU]]/Table2[[#Totals],[LU]]</f>
        <v>8.9545556301768529E-3</v>
      </c>
      <c r="V6" s="7">
        <f>Table2[[#This Row],[LV]]/Table2[[#Totals],[LV]]</f>
        <v>8.3162743091095184E-2</v>
      </c>
      <c r="W6" s="7">
        <f>Table2[[#This Row],[MT]]/Table2[[#Totals],[MT]]</f>
        <v>1.236323851203501E-2</v>
      </c>
      <c r="X6" s="7">
        <f>Table2[[#This Row],[NL]]/Table2[[#Totals],[NL]]</f>
        <v>1.8333672845793441E-2</v>
      </c>
      <c r="Y6" s="7">
        <f>Table2[[#This Row],[NO]]/Table2[[#Totals],[NO]]</f>
        <v>2.2002122391227449E-2</v>
      </c>
      <c r="Z6" s="7">
        <f>Table2[[#This Row],[PL]]/Table2[[#Totals],[PL]]</f>
        <v>9.5972055226170236E-2</v>
      </c>
      <c r="AA6" s="7">
        <f>Table2[[#This Row],[PT]]/Table2[[#Totals],[PT]]</f>
        <v>6.8678492377716116E-2</v>
      </c>
      <c r="AB6" s="7">
        <f>Table2[[#This Row],[RO]]/Table2[[#Totals],[RO]]</f>
        <v>0.24086793308994905</v>
      </c>
      <c r="AC6" s="7">
        <f>Table2[[#This Row],[SE]]/Table2[[#Totals],[SE]]</f>
        <v>1.5460326401138402E-2</v>
      </c>
      <c r="AD6" s="7">
        <f>Table2[[#This Row],[SK]]/Table2[[#Totals],[SK]]</f>
        <v>2.9814230036129839E-2</v>
      </c>
      <c r="AE6" s="7">
        <f>Table2[[#This Row],[UK]]/Table2[[#Totals],[UK]]</f>
        <v>1.2124862515057875E-2</v>
      </c>
      <c r="AF6" s="7">
        <f>AVERAGE(Table24[[#This Row],[AT]:[UK]])</f>
        <v>5.0740638301926225E-2</v>
      </c>
    </row>
    <row r="7" spans="1:32" x14ac:dyDescent="0.25">
      <c r="A7" t="s">
        <v>36</v>
      </c>
      <c r="B7" s="7">
        <f>Table2[[#This Row],[AT]]/Table2[[#Totals],[AT]]</f>
        <v>1.6163893278795204E-2</v>
      </c>
      <c r="C7" s="7">
        <f>Table2[[#This Row],[BE]]/Table2[[#Totals],[BE]]</f>
        <v>1.4030940021586061E-2</v>
      </c>
      <c r="D7" s="7">
        <f>Table2[[#This Row],[BG]]/Table2[[#Totals],[BG]]</f>
        <v>1.5572011903937989E-2</v>
      </c>
      <c r="E7" s="7">
        <f>Table2[[#This Row],[CH]]/Table2[[#Totals],[CH]]</f>
        <v>1.6587196915897332E-2</v>
      </c>
      <c r="F7" s="7">
        <f>Table2[[#This Row],[CY]]/Table2[[#Totals],[CY]]</f>
        <v>1.800889189037087E-2</v>
      </c>
      <c r="G7" s="7">
        <f>Table2[[#This Row],[CZ]]/Table2[[#Totals],[CZ]]</f>
        <v>1.6099865834451381E-2</v>
      </c>
      <c r="H7" s="7">
        <f>Table2[[#This Row],[DE]]/Table2[[#Totals],[DE]]</f>
        <v>1.3739989544424829E-2</v>
      </c>
      <c r="I7" s="7">
        <f>Table2[[#This Row],[DK]]/Table2[[#Totals],[DK]]</f>
        <v>2.5146414383421387E-2</v>
      </c>
      <c r="J7" s="7">
        <f>Table2[[#This Row],[EE]]/Table2[[#Totals],[EE]]</f>
        <v>2.9965156794425088E-2</v>
      </c>
      <c r="K7" s="7">
        <f>Table2[[#This Row],[ES]]/Table2[[#Totals],[ES]]</f>
        <v>2.0120724346076459E-2</v>
      </c>
      <c r="L7" s="7">
        <f>Table2[[#This Row],[FI]]/Table2[[#Totals],[FI]]</f>
        <v>2.608929532006455E-2</v>
      </c>
      <c r="M7" s="7">
        <f>Table2[[#This Row],[FR]]/Table2[[#Totals],[FR]]</f>
        <v>1.6247670731308641E-2</v>
      </c>
      <c r="N7" s="7">
        <f>Table2[[#This Row],[GR]]/Table2[[#Totals],[GR]]</f>
        <v>1.1972410814312903E-2</v>
      </c>
      <c r="O7" s="7">
        <f>Table2[[#This Row],[HR]]/Table2[[#Totals],[HR]]</f>
        <v>1.8650917003419334E-2</v>
      </c>
      <c r="P7" s="7">
        <f>Table2[[#This Row],[HU]]/Table2[[#Totals],[HU]]</f>
        <v>1.4207266071060575E-2</v>
      </c>
      <c r="Q7" s="7">
        <f>Table2[[#This Row],[IE]]/Table2[[#Totals],[IE]]</f>
        <v>2.3137223849869347E-2</v>
      </c>
      <c r="R7" s="7">
        <f>Table2[[#This Row],[IS]]/Table2[[#Totals],[IS]]</f>
        <v>3.4444811268845604E-2</v>
      </c>
      <c r="S7" s="7">
        <f>Table2[[#This Row],[IT]]/Table2[[#Totals],[IT]]</f>
        <v>1.354384687718021E-2</v>
      </c>
      <c r="T7" s="7">
        <f>Table2[[#This Row],[LT]]/Table2[[#Totals],[LT]]</f>
        <v>2.0638602715426075E-2</v>
      </c>
      <c r="U7" s="7">
        <f>Table2[[#This Row],[LU]]/Table2[[#Totals],[LU]]</f>
        <v>1.2536377882247594E-2</v>
      </c>
      <c r="V7" s="7">
        <f>Table2[[#This Row],[LV]]/Table2[[#Totals],[LV]]</f>
        <v>2.8659160696008188E-2</v>
      </c>
      <c r="W7" s="7">
        <f>Table2[[#This Row],[MT]]/Table2[[#Totals],[MT]]</f>
        <v>3.9277899343544857E-2</v>
      </c>
      <c r="X7" s="7">
        <f>Table2[[#This Row],[NL]]/Table2[[#Totals],[NL]]</f>
        <v>2.1363821552250969E-2</v>
      </c>
      <c r="Y7" s="7">
        <f>Table2[[#This Row],[NO]]/Table2[[#Totals],[NO]]</f>
        <v>2.2002122391227449E-2</v>
      </c>
      <c r="Z7" s="7">
        <f>Table2[[#This Row],[PL]]/Table2[[#Totals],[PL]]</f>
        <v>1.4304075625025912E-2</v>
      </c>
      <c r="AA7" s="7">
        <f>Table2[[#This Row],[PT]]/Table2[[#Totals],[PT]]</f>
        <v>1.4605480562396732E-2</v>
      </c>
      <c r="AB7" s="7">
        <f>Table2[[#This Row],[RO]]/Table2[[#Totals],[RO]]</f>
        <v>6.1671101210733657E-3</v>
      </c>
      <c r="AC7" s="7">
        <f>Table2[[#This Row],[SE]]/Table2[[#Totals],[SE]]</f>
        <v>2.6696114907430738E-2</v>
      </c>
      <c r="AD7" s="7">
        <f>Table2[[#This Row],[SK]]/Table2[[#Totals],[SK]]</f>
        <v>1.4195897698500754E-2</v>
      </c>
      <c r="AE7" s="7">
        <f>Table2[[#This Row],[UK]]/Table2[[#Totals],[UK]]</f>
        <v>2.5349604567118839E-2</v>
      </c>
      <c r="AF7" s="7">
        <f>AVERAGE(Table24[[#This Row],[AT]:[UK]])</f>
        <v>1.9650826497056642E-2</v>
      </c>
    </row>
    <row r="8" spans="1:32" x14ac:dyDescent="0.25">
      <c r="A8" t="s">
        <v>37</v>
      </c>
      <c r="B8" s="7">
        <f>Table2[[#This Row],[AT]]/Table2[[#Totals],[AT]]</f>
        <v>8.3805893836571541E-2</v>
      </c>
      <c r="C8" s="7">
        <f>Table2[[#This Row],[BE]]/Table2[[#Totals],[BE]]</f>
        <v>7.4266330883486664E-2</v>
      </c>
      <c r="D8" s="7">
        <f>Table2[[#This Row],[BG]]/Table2[[#Totals],[BG]]</f>
        <v>7.5576164440445709E-2</v>
      </c>
      <c r="E8" s="7">
        <f>Table2[[#This Row],[CH]]/Table2[[#Totals],[CH]]</f>
        <v>5.5569645936897637E-2</v>
      </c>
      <c r="F8" s="7">
        <f>Table2[[#This Row],[CY]]/Table2[[#Totals],[CY]]</f>
        <v>9.4490404637289666E-2</v>
      </c>
      <c r="G8" s="7">
        <f>Table2[[#This Row],[CZ]]/Table2[[#Totals],[CZ]]</f>
        <v>6.9882750977075192E-2</v>
      </c>
      <c r="H8" s="7">
        <f>Table2[[#This Row],[DE]]/Table2[[#Totals],[DE]]</f>
        <v>6.6097418685173534E-2</v>
      </c>
      <c r="I8" s="7">
        <f>Table2[[#This Row],[DK]]/Table2[[#Totals],[DK]]</f>
        <v>5.7787606995126348E-2</v>
      </c>
      <c r="J8" s="7">
        <f>Table2[[#This Row],[EE]]/Table2[[#Totals],[EE]]</f>
        <v>7.5818815331010453E-2</v>
      </c>
      <c r="K8" s="7">
        <f>Table2[[#This Row],[ES]]/Table2[[#Totals],[ES]]</f>
        <v>6.298316213067881E-2</v>
      </c>
      <c r="L8" s="7">
        <f>Table2[[#This Row],[FI]]/Table2[[#Totals],[FI]]</f>
        <v>7.6026537564999108E-2</v>
      </c>
      <c r="M8" s="7">
        <f>Table2[[#This Row],[FR]]/Table2[[#Totals],[FR]]</f>
        <v>6.711562980156266E-2</v>
      </c>
      <c r="N8" s="7">
        <f>Table2[[#This Row],[GR]]/Table2[[#Totals],[GR]]</f>
        <v>3.860326373047903E-2</v>
      </c>
      <c r="O8" s="7">
        <f>Table2[[#This Row],[HR]]/Table2[[#Totals],[HR]]</f>
        <v>6.8075847062480571E-2</v>
      </c>
      <c r="P8" s="7">
        <f>Table2[[#This Row],[HU]]/Table2[[#Totals],[HU]]</f>
        <v>7.7327773265610411E-2</v>
      </c>
      <c r="Q8" s="7">
        <f>Table2[[#This Row],[IE]]/Table2[[#Totals],[IE]]</f>
        <v>6.3457122495842899E-2</v>
      </c>
      <c r="R8" s="7">
        <f>Table2[[#This Row],[IS]]/Table2[[#Totals],[IS]]</f>
        <v>6.4047540442390222E-2</v>
      </c>
      <c r="S8" s="7">
        <f>Table2[[#This Row],[IT]]/Table2[[#Totals],[IT]]</f>
        <v>5.9397781620003844E-2</v>
      </c>
      <c r="T8" s="7">
        <f>Table2[[#This Row],[LT]]/Table2[[#Totals],[LT]]</f>
        <v>7.2456846557958657E-2</v>
      </c>
      <c r="U8" s="7">
        <f>Table2[[#This Row],[LU]]/Table2[[#Totals],[LU]]</f>
        <v>5.4622789344078798E-2</v>
      </c>
      <c r="V8" s="7">
        <f>Table2[[#This Row],[LV]]/Table2[[#Totals],[LV]]</f>
        <v>7.6765609007164795E-2</v>
      </c>
      <c r="W8" s="7">
        <f>Table2[[#This Row],[MT]]/Table2[[#Totals],[MT]]</f>
        <v>5.6783369803063456E-2</v>
      </c>
      <c r="X8" s="7">
        <f>Table2[[#This Row],[NL]]/Table2[[#Totals],[NL]]</f>
        <v>4.5401303727846815E-2</v>
      </c>
      <c r="Y8" s="7">
        <f>Table2[[#This Row],[NO]]/Table2[[#Totals],[NO]]</f>
        <v>8.4046692607003898E-2</v>
      </c>
      <c r="Z8" s="7">
        <f>Table2[[#This Row],[PL]]/Table2[[#Totals],[PL]]</f>
        <v>7.2442887350221821E-2</v>
      </c>
      <c r="AA8" s="7">
        <f>Table2[[#This Row],[PT]]/Table2[[#Totals],[PT]]</f>
        <v>6.3191694983944877E-2</v>
      </c>
      <c r="AB8" s="7">
        <f>Table2[[#This Row],[RO]]/Table2[[#Totals],[RO]]</f>
        <v>7.2066497535218529E-2</v>
      </c>
      <c r="AC8" s="7">
        <f>Table2[[#This Row],[SE]]/Table2[[#Totals],[SE]]</f>
        <v>6.7251678697952955E-2</v>
      </c>
      <c r="AD8" s="7">
        <f>Table2[[#This Row],[SK]]/Table2[[#Totals],[SK]]</f>
        <v>8.2245170834400153E-2</v>
      </c>
      <c r="AE8" s="7">
        <f>Table2[[#This Row],[UK]]/Table2[[#Totals],[UK]]</f>
        <v>7.295867595453831E-2</v>
      </c>
      <c r="AF8" s="7">
        <f>AVERAGE(Table24[[#This Row],[AT]:[UK]])</f>
        <v>6.8352096874683896E-2</v>
      </c>
    </row>
    <row r="9" spans="1:32" x14ac:dyDescent="0.25">
      <c r="A9" s="5" t="s">
        <v>38</v>
      </c>
      <c r="B9" s="7">
        <f>Table2[[#This Row],[AT]]/Table2[[#Totals],[AT]]</f>
        <v>6.7607139537045641E-2</v>
      </c>
      <c r="C9" s="7">
        <f>Table2[[#This Row],[BE]]/Table2[[#Totals],[BE]]</f>
        <v>9.9707046307241615E-2</v>
      </c>
      <c r="D9" s="7">
        <f>Table2[[#This Row],[BG]]/Table2[[#Totals],[BG]]</f>
        <v>6.394906221883867E-2</v>
      </c>
      <c r="E9" s="7">
        <f>Table2[[#This Row],[CH]]/Table2[[#Totals],[CH]]</f>
        <v>8.6512123364106727E-2</v>
      </c>
      <c r="F9" s="7">
        <f>Table2[[#This Row],[CY]]/Table2[[#Totals],[CY]]</f>
        <v>7.6087568236816921E-2</v>
      </c>
      <c r="G9" s="7">
        <f>Table2[[#This Row],[CZ]]/Table2[[#Totals],[CZ]]</f>
        <v>7.2566061949483757E-2</v>
      </c>
      <c r="H9" s="7">
        <f>Table2[[#This Row],[DE]]/Table2[[#Totals],[DE]]</f>
        <v>6.9093925916946367E-2</v>
      </c>
      <c r="I9" s="7">
        <f>Table2[[#This Row],[DK]]/Table2[[#Totals],[DK]]</f>
        <v>9.2845148871687752E-2</v>
      </c>
      <c r="J9" s="7">
        <f>Table2[[#This Row],[EE]]/Table2[[#Totals],[EE]]</f>
        <v>0.10411149825783972</v>
      </c>
      <c r="K9" s="7">
        <f>Table2[[#This Row],[ES]]/Table2[[#Totals],[ES]]</f>
        <v>7.6379328603198141E-2</v>
      </c>
      <c r="L9" s="7">
        <f>Table2[[#This Row],[FI]]/Table2[[#Totals],[FI]]</f>
        <v>7.5667921821767972E-2</v>
      </c>
      <c r="M9" s="7">
        <f>Table2[[#This Row],[FR]]/Table2[[#Totals],[FR]]</f>
        <v>8.346137500408643E-2</v>
      </c>
      <c r="N9" s="7">
        <f>Table2[[#This Row],[GR]]/Table2[[#Totals],[GR]]</f>
        <v>8.0553943336887715E-2</v>
      </c>
      <c r="O9" s="7">
        <f>Table2[[#This Row],[HR]]/Table2[[#Totals],[HR]]</f>
        <v>7.5847062480571964E-2</v>
      </c>
      <c r="P9" s="7">
        <f>Table2[[#This Row],[HU]]/Table2[[#Totals],[HU]]</f>
        <v>7.4515413429018226E-2</v>
      </c>
      <c r="Q9" s="7">
        <f>Table2[[#This Row],[IE]]/Table2[[#Totals],[IE]]</f>
        <v>8.483648744952095E-2</v>
      </c>
      <c r="R9" s="7">
        <f>Table2[[#This Row],[IS]]/Table2[[#Totals],[IS]]</f>
        <v>0.13667877187190491</v>
      </c>
      <c r="S9" s="7">
        <f>Table2[[#This Row],[IT]]/Table2[[#Totals],[IT]]</f>
        <v>7.5161019605464049E-2</v>
      </c>
      <c r="T9" s="7">
        <f>Table2[[#This Row],[LT]]/Table2[[#Totals],[LT]]</f>
        <v>0.11397284573923723</v>
      </c>
      <c r="U9" s="7">
        <f>Table2[[#This Row],[LU]]/Table2[[#Totals],[LU]]</f>
        <v>8.8650100738750834E-2</v>
      </c>
      <c r="V9" s="7">
        <f>Table2[[#This Row],[LV]]/Table2[[#Totals],[LV]]</f>
        <v>0.11003070624360287</v>
      </c>
      <c r="W9" s="7">
        <f>Table2[[#This Row],[MT]]/Table2[[#Totals],[MT]]</f>
        <v>0.10295404814004376</v>
      </c>
      <c r="X9" s="7">
        <f>Table2[[#This Row],[NL]]/Table2[[#Totals],[NL]]</f>
        <v>8.3392748013852103E-2</v>
      </c>
      <c r="Y9" s="7">
        <f>Table2[[#This Row],[NO]]/Table2[[#Totals],[NO]]</f>
        <v>8.5815351963211883E-2</v>
      </c>
      <c r="Z9" s="7">
        <f>Table2[[#This Row],[PL]]/Table2[[#Totals],[PL]]</f>
        <v>8.8146274721174173E-2</v>
      </c>
      <c r="AA9" s="7">
        <f>Table2[[#This Row],[PT]]/Table2[[#Totals],[PT]]</f>
        <v>9.2652055990273402E-2</v>
      </c>
      <c r="AB9" s="7">
        <f>Table2[[#This Row],[RO]]/Table2[[#Totals],[RO]]</f>
        <v>4.1313450075284121E-2</v>
      </c>
      <c r="AC9" s="7">
        <f>Table2[[#This Row],[SE]]/Table2[[#Totals],[SE]]</f>
        <v>0.12326756888961357</v>
      </c>
      <c r="AD9" s="7">
        <f>Table2[[#This Row],[SK]]/Table2[[#Totals],[SK]]</f>
        <v>8.7451281613609849E-2</v>
      </c>
      <c r="AE9" s="7">
        <f>Table2[[#This Row],[UK]]/Table2[[#Totals],[UK]]</f>
        <v>0.10537893468810559</v>
      </c>
      <c r="AF9" s="7">
        <f>AVERAGE(Table24[[#This Row],[AT]:[UK]])</f>
        <v>8.7286875502639569E-2</v>
      </c>
    </row>
    <row r="10" spans="1:32" x14ac:dyDescent="0.25">
      <c r="A10" s="4" t="s">
        <v>39</v>
      </c>
      <c r="B10" s="7">
        <f>Table2[[#This Row],[AT]]/Table2[[#Totals],[AT]]</f>
        <v>6.9954448266245231E-3</v>
      </c>
      <c r="C10" s="7">
        <f>Table2[[#This Row],[BE]]/Table2[[#Totals],[BE]]</f>
        <v>6.1674461633345326E-3</v>
      </c>
      <c r="D10" s="7">
        <f>Table2[[#This Row],[BG]]/Table2[[#Totals],[BG]]</f>
        <v>1.4049415184441831E-2</v>
      </c>
      <c r="E10" s="7">
        <f>Table2[[#This Row],[CH]]/Table2[[#Totals],[CH]]</f>
        <v>5.9095059348686215E-3</v>
      </c>
      <c r="F10" s="7">
        <f>Table2[[#This Row],[CY]]/Table2[[#Totals],[CY]]</f>
        <v>5.4589453542686697E-3</v>
      </c>
      <c r="G10" s="7">
        <f>Table2[[#This Row],[CZ]]/Table2[[#Totals],[CZ]]</f>
        <v>1.0849909584086799E-2</v>
      </c>
      <c r="H10" s="7">
        <f>Table2[[#This Row],[DE]]/Table2[[#Totals],[DE]]</f>
        <v>7.9136581633039611E-3</v>
      </c>
      <c r="I10" s="7">
        <f>Table2[[#This Row],[DK]]/Table2[[#Totals],[DK]]</f>
        <v>5.7541876561412134E-3</v>
      </c>
      <c r="J10" s="7">
        <f>Table2[[#This Row],[EE]]/Table2[[#Totals],[EE]]</f>
        <v>8.850174216027875E-3</v>
      </c>
      <c r="K10" s="7">
        <f>Table2[[#This Row],[ES]]/Table2[[#Totals],[ES]]</f>
        <v>4.34184051678492E-3</v>
      </c>
      <c r="L10" s="7">
        <f>Table2[[#This Row],[FI]]/Table2[[#Totals],[FI]]</f>
        <v>5.2895822126591361E-3</v>
      </c>
      <c r="M10" s="7">
        <f>Table2[[#This Row],[FR]]/Table2[[#Totals],[FR]]</f>
        <v>7.1594363987054167E-3</v>
      </c>
      <c r="N10" s="7">
        <f>Table2[[#This Row],[GR]]/Table2[[#Totals],[GR]]</f>
        <v>7.8151362587228525E-3</v>
      </c>
      <c r="O10" s="7">
        <f>Table2[[#This Row],[HR]]/Table2[[#Totals],[HR]]</f>
        <v>1.2433944668946224E-2</v>
      </c>
      <c r="P10" s="7">
        <f>Table2[[#This Row],[HU]]/Table2[[#Totals],[HU]]</f>
        <v>7.5400336998290764E-3</v>
      </c>
      <c r="Q10" s="7">
        <f>Table2[[#This Row],[IE]]/Table2[[#Totals],[IE]]</f>
        <v>6.3504632195739968E-3</v>
      </c>
      <c r="R10" s="7">
        <f>Table2[[#This Row],[IS]]/Table2[[#Totals],[IS]]</f>
        <v>9.7942115109497085E-3</v>
      </c>
      <c r="S10" s="7">
        <f>Table2[[#This Row],[IT]]/Table2[[#Totals],[IT]]</f>
        <v>5.1516162627273741E-3</v>
      </c>
      <c r="T10" s="7">
        <f>Table2[[#This Row],[LT]]/Table2[[#Totals],[LT]]</f>
        <v>8.2213276932523709E-3</v>
      </c>
      <c r="U10" s="7">
        <f>Table2[[#This Row],[LU]]/Table2[[#Totals],[LU]]</f>
        <v>5.8204611596149539E-3</v>
      </c>
      <c r="V10" s="7">
        <f>Table2[[#This Row],[LV]]/Table2[[#Totals],[LV]]</f>
        <v>1.2026612077789151E-2</v>
      </c>
      <c r="W10" s="7">
        <f>Table2[[#This Row],[MT]]/Table2[[#Totals],[MT]]</f>
        <v>4.3763676148796501E-4</v>
      </c>
      <c r="X10" s="7">
        <f>Table2[[#This Row],[NL]]/Table2[[#Totals],[NL]]</f>
        <v>4.4051741698920349E-3</v>
      </c>
      <c r="Y10" s="7">
        <f>Table2[[#This Row],[NO]]/Table2[[#Totals],[NO]]</f>
        <v>7.1453837990802975E-3</v>
      </c>
      <c r="Z10" s="7">
        <f>Table2[[#This Row],[PL]]/Table2[[#Totals],[PL]]</f>
        <v>1.0479290186160289E-2</v>
      </c>
      <c r="AA10" s="7">
        <f>Table2[[#This Row],[PT]]/Table2[[#Totals],[PT]]</f>
        <v>4.3177354490756617E-3</v>
      </c>
      <c r="AB10" s="7">
        <f>Table2[[#This Row],[RO]]/Table2[[#Totals],[RO]]</f>
        <v>1.0003506383680878E-2</v>
      </c>
      <c r="AC10" s="7">
        <f>Table2[[#This Row],[SE]]/Table2[[#Totals],[SE]]</f>
        <v>5.8995301128025729E-3</v>
      </c>
      <c r="AD10" s="7">
        <f>Table2[[#This Row],[SK]]/Table2[[#Totals],[SK]]</f>
        <v>1.152172057693949E-2</v>
      </c>
      <c r="AE10" s="7">
        <f>Table2[[#This Row],[UK]]/Table2[[#Totals],[UK]]</f>
        <v>5.8660241973498136E-3</v>
      </c>
      <c r="AF10" s="7">
        <f>AVERAGE(Table24[[#This Row],[AT]:[UK]])</f>
        <v>7.4656451466374061E-3</v>
      </c>
    </row>
    <row r="11" spans="1:32" x14ac:dyDescent="0.25">
      <c r="A11" t="s">
        <v>40</v>
      </c>
      <c r="B11" s="7">
        <f>Table2[[#This Row],[AT]]/Table2[[#Totals],[AT]]</f>
        <v>3.045691177837687E-2</v>
      </c>
      <c r="C11" s="7">
        <f>Table2[[#This Row],[BE]]/Table2[[#Totals],[BE]]</f>
        <v>2.8627229274811122E-2</v>
      </c>
      <c r="D11" s="7">
        <f>Table2[[#This Row],[BG]]/Table2[[#Totals],[BG]]</f>
        <v>1.7786698041386946E-2</v>
      </c>
      <c r="E11" s="7">
        <f>Table2[[#This Row],[CH]]/Table2[[#Totals],[CH]]</f>
        <v>5.5772547428223594E-2</v>
      </c>
      <c r="F11" s="7">
        <f>Table2[[#This Row],[CY]]/Table2[[#Totals],[CY]]</f>
        <v>5.1325341887556983E-2</v>
      </c>
      <c r="G11" s="7">
        <f>Table2[[#This Row],[CZ]]/Table2[[#Totals],[CZ]]</f>
        <v>1.8258181181823485E-2</v>
      </c>
      <c r="H11" s="7">
        <f>Table2[[#This Row],[DE]]/Table2[[#Totals],[DE]]</f>
        <v>3.0612863388060945E-2</v>
      </c>
      <c r="I11" s="7">
        <f>Table2[[#This Row],[DK]]/Table2[[#Totals],[DK]]</f>
        <v>2.6497931768849573E-2</v>
      </c>
      <c r="J11" s="7">
        <f>Table2[[#This Row],[EE]]/Table2[[#Totals],[EE]]</f>
        <v>1.6445993031358887E-2</v>
      </c>
      <c r="K11" s="7">
        <f>Table2[[#This Row],[ES]]/Table2[[#Totals],[ES]]</f>
        <v>2.0703166366620777E-2</v>
      </c>
      <c r="L11" s="7">
        <f>Table2[[#This Row],[FI]]/Table2[[#Totals],[FI]]</f>
        <v>1.9096288327057558E-2</v>
      </c>
      <c r="M11" s="7">
        <f>Table2[[#This Row],[FR]]/Table2[[#Totals],[FR]]</f>
        <v>3.2985713818692995E-2</v>
      </c>
      <c r="N11" s="7">
        <f>Table2[[#This Row],[GR]]/Table2[[#Totals],[GR]]</f>
        <v>1.6885553470919325E-2</v>
      </c>
      <c r="O11" s="7">
        <f>Table2[[#This Row],[HR]]/Table2[[#Totals],[HR]]</f>
        <v>2.7354678271681691E-2</v>
      </c>
      <c r="P11" s="7">
        <f>Table2[[#This Row],[HU]]/Table2[[#Totals],[HU]]</f>
        <v>1.2170729637666227E-2</v>
      </c>
      <c r="Q11" s="7">
        <f>Table2[[#This Row],[IE]]/Table2[[#Totals],[IE]]</f>
        <v>4.467495446987093E-2</v>
      </c>
      <c r="R11" s="7">
        <f>Table2[[#This Row],[IS]]/Table2[[#Totals],[IS]]</f>
        <v>3.7416088918234842E-2</v>
      </c>
      <c r="S11" s="7">
        <f>Table2[[#This Row],[IT]]/Table2[[#Totals],[IT]]</f>
        <v>2.5712581268136823E-2</v>
      </c>
      <c r="T11" s="7">
        <f>Table2[[#This Row],[LT]]/Table2[[#Totals],[LT]]</f>
        <v>1.4259398239748925E-2</v>
      </c>
      <c r="U11" s="7">
        <f>Table2[[#This Row],[LU]]/Table2[[#Totals],[LU]]</f>
        <v>0.10633534810835012</v>
      </c>
      <c r="V11" s="7">
        <f>Table2[[#This Row],[LV]]/Table2[[#Totals],[LV]]</f>
        <v>1.4585465711361311E-2</v>
      </c>
      <c r="W11" s="7">
        <f>Table2[[#This Row],[MT]]/Table2[[#Totals],[MT]]</f>
        <v>4.8577680525164112E-2</v>
      </c>
      <c r="X11" s="7">
        <f>Table2[[#This Row],[NL]]/Table2[[#Totals],[NL]]</f>
        <v>3.2593196170299453E-2</v>
      </c>
      <c r="Y11" s="7">
        <f>Table2[[#This Row],[NO]]/Table2[[#Totals],[NO]]</f>
        <v>1.9172267421294659E-2</v>
      </c>
      <c r="Z11" s="7">
        <f>Table2[[#This Row],[PL]]/Table2[[#Totals],[PL]]</f>
        <v>2.3301131887723373E-2</v>
      </c>
      <c r="AA11" s="7">
        <f>Table2[[#This Row],[PT]]/Table2[[#Totals],[PT]]</f>
        <v>1.7457991707453938E-2</v>
      </c>
      <c r="AB11" s="7">
        <f>Table2[[#This Row],[RO]]/Table2[[#Totals],[RO]]</f>
        <v>1.1932017408163687E-2</v>
      </c>
      <c r="AC11" s="7">
        <f>Table2[[#This Row],[SE]]/Table2[[#Totals],[SE]]</f>
        <v>1.9936854275677037E-2</v>
      </c>
      <c r="AD11" s="7">
        <f>Table2[[#This Row],[SK]]/Table2[[#Totals],[SK]]</f>
        <v>2.031236664675258E-2</v>
      </c>
      <c r="AE11" s="7">
        <f>Table2[[#This Row],[UK]]/Table2[[#Totals],[UK]]</f>
        <v>3.645315036924527E-2</v>
      </c>
      <c r="AF11" s="7">
        <f>AVERAGE(Table24[[#This Row],[AT]:[UK]])</f>
        <v>2.9256677360018805E-2</v>
      </c>
    </row>
    <row r="12" spans="1:32" x14ac:dyDescent="0.25">
      <c r="A12" t="s">
        <v>41</v>
      </c>
      <c r="B12" s="7">
        <f>Table2[[#This Row],[AT]]/Table2[[#Totals],[AT]]</f>
        <v>0.11112531374918658</v>
      </c>
      <c r="C12" s="7">
        <f>Table2[[#This Row],[BE]]/Table2[[#Totals],[BE]]</f>
        <v>0.15074266330883487</v>
      </c>
      <c r="D12" s="7">
        <f>Table2[[#This Row],[BG]]/Table2[[#Totals],[BG]]</f>
        <v>5.7651048515468199E-2</v>
      </c>
      <c r="E12" s="7">
        <f>Table2[[#This Row],[CH]]/Table2[[#Totals],[CH]]</f>
        <v>0.15871969158973318</v>
      </c>
      <c r="F12" s="7">
        <f>Table2[[#This Row],[CY]]/Table2[[#Totals],[CY]]</f>
        <v>5.1944397546288483E-2</v>
      </c>
      <c r="G12" s="7">
        <f>Table2[[#This Row],[CZ]]/Table2[[#Totals],[CZ]]</f>
        <v>8.178265181123491E-2</v>
      </c>
      <c r="H12" s="7">
        <f>Table2[[#This Row],[DE]]/Table2[[#Totals],[DE]]</f>
        <v>0.135036026275315</v>
      </c>
      <c r="I12" s="7">
        <f>Table2[[#This Row],[DK]]/Table2[[#Totals],[DK]]</f>
        <v>0.19126018757423108</v>
      </c>
      <c r="J12" s="7">
        <f>Table2[[#This Row],[EE]]/Table2[[#Totals],[EE]]</f>
        <v>6.8083623693379794E-2</v>
      </c>
      <c r="K12" s="7">
        <f>Table2[[#This Row],[ES]]/Table2[[#Totals],[ES]]</f>
        <v>9.7056020332521448E-2</v>
      </c>
      <c r="L12" s="7">
        <f>Table2[[#This Row],[FI]]/Table2[[#Totals],[FI]]</f>
        <v>0.17195624887932581</v>
      </c>
      <c r="M12" s="7">
        <f>Table2[[#This Row],[FR]]/Table2[[#Totals],[FR]]</f>
        <v>0.15211350485468633</v>
      </c>
      <c r="N12" s="7">
        <f>Table2[[#This Row],[GR]]/Table2[[#Totals],[GR]]</f>
        <v>5.8822735432667E-2</v>
      </c>
      <c r="O12" s="7">
        <f>Table2[[#This Row],[HR]]/Table2[[#Totals],[HR]]</f>
        <v>7.1184333229717123E-2</v>
      </c>
      <c r="P12" s="7">
        <f>Table2[[#This Row],[HU]]/Table2[[#Totals],[HU]]</f>
        <v>7.3982034839319699E-2</v>
      </c>
      <c r="Q12" s="7">
        <f>Table2[[#This Row],[IE]]/Table2[[#Totals],[IE]]</f>
        <v>0.1295747881859213</v>
      </c>
      <c r="R12" s="7">
        <f>Table2[[#This Row],[IS]]/Table2[[#Totals],[IS]]</f>
        <v>0.11852096401452625</v>
      </c>
      <c r="S12" s="7">
        <f>Table2[[#This Row],[IT]]/Table2[[#Totals],[IT]]</f>
        <v>8.6616919950253279E-2</v>
      </c>
      <c r="T12" s="7">
        <f>Table2[[#This Row],[LT]]/Table2[[#Totals],[LT]]</f>
        <v>7.9757112642423411E-2</v>
      </c>
      <c r="U12" s="7">
        <f>Table2[[#This Row],[LU]]/Table2[[#Totals],[LU]]</f>
        <v>0.12424445936870383</v>
      </c>
      <c r="V12" s="7">
        <f>Table2[[#This Row],[LV]]/Table2[[#Totals],[LV]]</f>
        <v>7.0368474923234392E-2</v>
      </c>
      <c r="W12" s="7">
        <f>Table2[[#This Row],[MT]]/Table2[[#Totals],[MT]]</f>
        <v>9.3873085339168494E-2</v>
      </c>
      <c r="X12" s="7">
        <f>Table2[[#This Row],[NL]]/Table2[[#Totals],[NL]]</f>
        <v>0.18150336117335505</v>
      </c>
      <c r="Y12" s="7">
        <f>Table2[[#This Row],[NO]]/Table2[[#Totals],[NO]]</f>
        <v>0.21061195613724798</v>
      </c>
      <c r="Z12" s="7">
        <f>Table2[[#This Row],[PL]]/Table2[[#Totals],[PL]]</f>
        <v>6.9240018242879064E-2</v>
      </c>
      <c r="AA12" s="7">
        <f>Table2[[#This Row],[PT]]/Table2[[#Totals],[PT]]</f>
        <v>9.6159241824360128E-2</v>
      </c>
      <c r="AB12" s="7">
        <f>Table2[[#This Row],[RO]]/Table2[[#Totals],[RO]]</f>
        <v>4.6170822762617823E-2</v>
      </c>
      <c r="AC12" s="7">
        <f>Table2[[#This Row],[SE]]/Table2[[#Totals],[SE]]</f>
        <v>0.15888709366615775</v>
      </c>
      <c r="AD12" s="7">
        <f>Table2[[#This Row],[SK]]/Table2[[#Totals],[SK]]</f>
        <v>7.6669227049017102E-2</v>
      </c>
      <c r="AE12" s="7">
        <f>Table2[[#This Row],[UK]]/Table2[[#Totals],[UK]]</f>
        <v>0.14264390090609125</v>
      </c>
      <c r="AF12" s="7">
        <f>AVERAGE(Table24[[#This Row],[AT]:[UK]])</f>
        <v>0.11054339692726221</v>
      </c>
    </row>
    <row r="13" spans="1:32" x14ac:dyDescent="0.25">
      <c r="A13" s="5" t="s">
        <v>42</v>
      </c>
      <c r="B13" s="7">
        <f>Table2[[#This Row],[AT]]/Table2[[#Totals],[AT]]</f>
        <v>2.5239379009017383E-2</v>
      </c>
      <c r="C13" s="7">
        <f>Table2[[#This Row],[BE]]/Table2[[#Totals],[BE]]</f>
        <v>2.9963509276866938E-2</v>
      </c>
      <c r="D13" s="7">
        <f>Table2[[#This Row],[BG]]/Table2[[#Totals],[BG]]</f>
        <v>2.4361547511938541E-2</v>
      </c>
      <c r="E13" s="7">
        <f>Table2[[#This Row],[CH]]/Table2[[#Totals],[CH]]</f>
        <v>3.649690575225728E-2</v>
      </c>
      <c r="F13" s="7">
        <f>Table2[[#This Row],[CY]]/Table2[[#Totals],[CY]]</f>
        <v>2.5437559795148855E-2</v>
      </c>
      <c r="G13" s="7">
        <f>Table2[[#This Row],[CZ]]/Table2[[#Totals],[CZ]]</f>
        <v>2.3916467362771976E-2</v>
      </c>
      <c r="H13" s="7">
        <f>Table2[[#This Row],[DE]]/Table2[[#Totals],[DE]]</f>
        <v>3.1609173630736363E-2</v>
      </c>
      <c r="I13" s="7">
        <f>Table2[[#This Row],[DK]]/Table2[[#Totals],[DK]]</f>
        <v>3.6961952737846582E-2</v>
      </c>
      <c r="J13" s="7">
        <f>Table2[[#This Row],[EE]]/Table2[[#Totals],[EE]]</f>
        <v>4.0487804878048782E-2</v>
      </c>
      <c r="K13" s="7">
        <f>Table2[[#This Row],[ES]]/Table2[[#Totals],[ES]]</f>
        <v>2.4224293127184156E-2</v>
      </c>
      <c r="L13" s="7">
        <f>Table2[[#This Row],[FI]]/Table2[[#Totals],[FI]]</f>
        <v>4.3751120674197598E-2</v>
      </c>
      <c r="M13" s="7">
        <f>Table2[[#This Row],[FR]]/Table2[[#Totals],[FR]]</f>
        <v>2.8016607277125766E-2</v>
      </c>
      <c r="N13" s="7">
        <f>Table2[[#This Row],[GR]]/Table2[[#Totals],[GR]]</f>
        <v>1.8464777896257101E-2</v>
      </c>
      <c r="O13" s="7">
        <f>Table2[[#This Row],[HR]]/Table2[[#Totals],[HR]]</f>
        <v>3.2639104755983833E-2</v>
      </c>
      <c r="P13" s="7">
        <f>Table2[[#This Row],[HU]]/Table2[[#Totals],[HU]]</f>
        <v>1.6862036778878209E-2</v>
      </c>
      <c r="Q13" s="7">
        <f>Table2[[#This Row],[IE]]/Table2[[#Totals],[IE]]</f>
        <v>4.7319661097474069E-2</v>
      </c>
      <c r="R13" s="7">
        <f>Table2[[#This Row],[IS]]/Table2[[#Totals],[IS]]</f>
        <v>4.1267745130406076E-2</v>
      </c>
      <c r="S13" s="7">
        <f>Table2[[#This Row],[IT]]/Table2[[#Totals],[IT]]</f>
        <v>2.2573078128633683E-2</v>
      </c>
      <c r="T13" s="7">
        <f>Table2[[#This Row],[LT]]/Table2[[#Totals],[LT]]</f>
        <v>2.03656955720816E-2</v>
      </c>
      <c r="U13" s="7">
        <f>Table2[[#This Row],[LU]]/Table2[[#Totals],[LU]]</f>
        <v>3.917618088202373E-2</v>
      </c>
      <c r="V13" s="7">
        <f>Table2[[#This Row],[LV]]/Table2[[#Totals],[LV]]</f>
        <v>1.9447287615148412E-2</v>
      </c>
      <c r="W13" s="7">
        <f>Table2[[#This Row],[MT]]/Table2[[#Totals],[MT]]</f>
        <v>3.6323851203501095E-2</v>
      </c>
      <c r="X13" s="7">
        <f>Table2[[#This Row],[NL]]/Table2[[#Totals],[NL]]</f>
        <v>3.6794662864127116E-2</v>
      </c>
      <c r="Y13" s="7">
        <f>Table2[[#This Row],[NO]]/Table2[[#Totals],[NO]]</f>
        <v>3.5585426246904847E-2</v>
      </c>
      <c r="Z13" s="7">
        <f>Table2[[#This Row],[PL]]/Table2[[#Totals],[PL]]</f>
        <v>2.4109623118703096E-2</v>
      </c>
      <c r="AA13" s="7">
        <f>Table2[[#This Row],[PT]]/Table2[[#Totals],[PT]]</f>
        <v>2.054431524145026E-2</v>
      </c>
      <c r="AB13" s="7">
        <f>Table2[[#This Row],[RO]]/Table2[[#Totals],[RO]]</f>
        <v>1.4768063032403111E-2</v>
      </c>
      <c r="AC13" s="7">
        <f>Table2[[#This Row],[SE]]/Table2[[#Totals],[SE]]</f>
        <v>4.8337607281028122E-2</v>
      </c>
      <c r="AD13" s="7">
        <f>Table2[[#This Row],[SK]]/Table2[[#Totals],[SK]]</f>
        <v>2.6827117293960343E-2</v>
      </c>
      <c r="AE13" s="7">
        <f>Table2[[#This Row],[UK]]/Table2[[#Totals],[UK]]</f>
        <v>3.8914785523490286E-2</v>
      </c>
      <c r="AF13" s="7">
        <f>AVERAGE(Table24[[#This Row],[AT]:[UK]])</f>
        <v>3.035957802318651E-2</v>
      </c>
    </row>
    <row r="14" spans="1:32" x14ac:dyDescent="0.25">
      <c r="A14" s="6" t="s">
        <v>43</v>
      </c>
      <c r="B14" s="7">
        <f>Table2[[#This Row],[AT]]/Table2[[#Totals],[AT]]</f>
        <v>0.16238263456354002</v>
      </c>
      <c r="C14" s="7">
        <f>Table2[[#This Row],[BE]]/Table2[[#Totals],[BE]]</f>
        <v>0.1158451971013003</v>
      </c>
      <c r="D14" s="7">
        <f>Table2[[#This Row],[BG]]/Table2[[#Totals],[BG]]</f>
        <v>0.19890649871963459</v>
      </c>
      <c r="E14" s="7">
        <f>Table2[[#This Row],[CH]]/Table2[[#Totals],[CH]]</f>
        <v>0.12549457238510703</v>
      </c>
      <c r="F14" s="7">
        <f>Table2[[#This Row],[CY]]/Table2[[#Totals],[CY]]</f>
        <v>7.034723394676122E-2</v>
      </c>
      <c r="G14" s="7">
        <f>Table2[[#This Row],[CZ]]/Table2[[#Totals],[CZ]]</f>
        <v>0.28291430904742459</v>
      </c>
      <c r="H14" s="7">
        <f>Table2[[#This Row],[DE]]/Table2[[#Totals],[DE]]</f>
        <v>0.19051118670778183</v>
      </c>
      <c r="I14" s="7">
        <f>Table2[[#This Row],[DK]]/Table2[[#Totals],[DK]]</f>
        <v>0.10736372199696932</v>
      </c>
      <c r="J14" s="7">
        <f>Table2[[#This Row],[EE]]/Table2[[#Totals],[EE]]</f>
        <v>0.18209059233449476</v>
      </c>
      <c r="K14" s="7">
        <f>Table2[[#This Row],[ES]]/Table2[[#Totals],[ES]]</f>
        <v>0.13200254156518057</v>
      </c>
      <c r="L14" s="7">
        <f>Table2[[#This Row],[FI]]/Table2[[#Totals],[FI]]</f>
        <v>0.13089474627936165</v>
      </c>
      <c r="M14" s="7">
        <f>Table2[[#This Row],[FR]]/Table2[[#Totals],[FR]]</f>
        <v>0.118898950603158</v>
      </c>
      <c r="N14" s="7">
        <f>Table2[[#This Row],[GR]]/Table2[[#Totals],[GR]]</f>
        <v>9.0002294599592372E-2</v>
      </c>
      <c r="O14" s="7">
        <f>Table2[[#This Row],[HR]]/Table2[[#Totals],[HR]]</f>
        <v>0.19272614236866645</v>
      </c>
      <c r="P14" s="7">
        <f>Table2[[#This Row],[HU]]/Table2[[#Totals],[HU]]</f>
        <v>0.24846956711478549</v>
      </c>
      <c r="Q14" s="7">
        <f>Table2[[#This Row],[IE]]/Table2[[#Totals],[IE]]</f>
        <v>0.10843297173172856</v>
      </c>
      <c r="R14" s="7">
        <f>Table2[[#This Row],[IS]]/Table2[[#Totals],[IS]]</f>
        <v>9.1669417849675361E-2</v>
      </c>
      <c r="S14" s="7">
        <f>Table2[[#This Row],[IT]]/Table2[[#Totals],[IT]]</f>
        <v>0.17717717717717718</v>
      </c>
      <c r="T14" s="7">
        <f>Table2[[#This Row],[LT]]/Table2[[#Totals],[LT]]</f>
        <v>0.15982124582110938</v>
      </c>
      <c r="U14" s="7">
        <f>Table2[[#This Row],[LU]]/Table2[[#Totals],[LU]]</f>
        <v>3.6489814192970677E-2</v>
      </c>
      <c r="V14" s="7">
        <f>Table2[[#This Row],[LV]]/Table2[[#Totals],[LV]]</f>
        <v>0.14611054247697031</v>
      </c>
      <c r="W14" s="7">
        <f>Table2[[#This Row],[MT]]/Table2[[#Totals],[MT]]</f>
        <v>0.11706783369803063</v>
      </c>
      <c r="X14" s="7">
        <f>Table2[[#This Row],[NL]]/Table2[[#Totals],[NL]]</f>
        <v>9.6480953350987983E-2</v>
      </c>
      <c r="Y14" s="7">
        <f>Table2[[#This Row],[NO]]/Table2[[#Totals],[NO]]</f>
        <v>7.8882207286876546E-2</v>
      </c>
      <c r="Z14" s="7">
        <f>Table2[[#This Row],[PL]]/Table2[[#Totals],[PL]]</f>
        <v>0.19628715950080849</v>
      </c>
      <c r="AA14" s="7">
        <f>Table2[[#This Row],[PT]]/Table2[[#Totals],[PT]]</f>
        <v>0.14109798297845808</v>
      </c>
      <c r="AB14" s="7">
        <f>Table2[[#This Row],[RO]]/Table2[[#Totals],[RO]]</f>
        <v>0.20321556009322855</v>
      </c>
      <c r="AC14" s="7">
        <f>Table2[[#This Row],[SE]]/Table2[[#Totals],[SE]]</f>
        <v>9.9461927278656451E-2</v>
      </c>
      <c r="AD14" s="7">
        <f>Table2[[#This Row],[SK]]/Table2[[#Totals],[SK]]</f>
        <v>0.24073283832607892</v>
      </c>
      <c r="AE14" s="7">
        <f>Table2[[#This Row],[UK]]/Table2[[#Totals],[UK]]</f>
        <v>9.5375268422982246E-2</v>
      </c>
      <c r="AF14" s="7">
        <f>AVERAGE(Table24[[#This Row],[AT]:[UK]])</f>
        <v>0.14457176965064994</v>
      </c>
    </row>
    <row r="15" spans="1:32" x14ac:dyDescent="0.25">
      <c r="A15" s="2" t="s">
        <v>44</v>
      </c>
      <c r="B15" s="7">
        <f>Table2[[#This Row],[AT]]/Table2[[#Totals],[AT]]</f>
        <v>1.6036069536116018E-3</v>
      </c>
      <c r="C15" s="7">
        <f>Table2[[#This Row],[BE]]/Table2[[#Totals],[BE]]</f>
        <v>6.1674461633345326E-4</v>
      </c>
      <c r="D15" s="7">
        <f>Table2[[#This Row],[BG]]/Table2[[#Totals],[BG]]</f>
        <v>1.2042355872378712E-2</v>
      </c>
      <c r="E15" s="7">
        <f>Table2[[#This Row],[CH]]/Table2[[#Totals],[CH]]</f>
        <v>5.3261641473064823E-4</v>
      </c>
      <c r="F15" s="7">
        <f>Table2[[#This Row],[CY]]/Table2[[#Totals],[CY]]</f>
        <v>1.8571669761944961E-3</v>
      </c>
      <c r="G15" s="7">
        <f>Table2[[#This Row],[CZ]]/Table2[[#Totals],[CZ]]</f>
        <v>6.0666161115324035E-3</v>
      </c>
      <c r="H15" s="7">
        <f>Table2[[#This Row],[DE]]/Table2[[#Totals],[DE]]</f>
        <v>1.6971368392341671E-3</v>
      </c>
      <c r="I15" s="7">
        <f>Table2[[#This Row],[DK]]/Table2[[#Totals],[DK]]</f>
        <v>1.6791579637138059E-3</v>
      </c>
      <c r="J15" s="7">
        <f>Table2[[#This Row],[EE]]/Table2[[#Totals],[EE]]</f>
        <v>7.6655052264808362E-3</v>
      </c>
      <c r="K15" s="7">
        <f>Table2[[#This Row],[ES]]/Table2[[#Totals],[ES]]</f>
        <v>1.8796992481203006E-3</v>
      </c>
      <c r="L15" s="7">
        <f>Table2[[#This Row],[FI]]/Table2[[#Totals],[FI]]</f>
        <v>3.1378877532723688E-3</v>
      </c>
      <c r="M15" s="7">
        <f>Table2[[#This Row],[FR]]/Table2[[#Totals],[FR]]</f>
        <v>8.499787505312367E-4</v>
      </c>
      <c r="N15" s="7">
        <f>Table2[[#This Row],[GR]]/Table2[[#Totals],[GR]]</f>
        <v>4.2787533575391092E-3</v>
      </c>
      <c r="O15" s="7">
        <f>Table2[[#This Row],[HR]]/Table2[[#Totals],[HR]]</f>
        <v>3.1084861672365559E-3</v>
      </c>
      <c r="P15" s="7">
        <f>Table2[[#This Row],[HU]]/Table2[[#Totals],[HU]]</f>
        <v>3.1396603348162874E-3</v>
      </c>
      <c r="Q15" s="7">
        <f>Table2[[#This Row],[IE]]/Table2[[#Totals],[IE]]</f>
        <v>3.2464961596325916E-3</v>
      </c>
      <c r="R15" s="7">
        <f>Table2[[#This Row],[IS]]/Table2[[#Totals],[IS]]</f>
        <v>9.9042588312974584E-4</v>
      </c>
      <c r="S15" s="7">
        <f>Table2[[#This Row],[IT]]/Table2[[#Totals],[IT]]</f>
        <v>1.3144457588902033E-3</v>
      </c>
      <c r="T15" s="7">
        <f>Table2[[#This Row],[LT]]/Table2[[#Totals],[LT]]</f>
        <v>1.84212321757522E-3</v>
      </c>
      <c r="U15" s="7">
        <f>Table2[[#This Row],[LU]]/Table2[[#Totals],[LU]]</f>
        <v>2.2386389075442132E-4</v>
      </c>
      <c r="V15" s="7">
        <f>Table2[[#This Row],[LV]]/Table2[[#Totals],[LV]]</f>
        <v>4.0941658137154556E-3</v>
      </c>
      <c r="W15" s="7">
        <f>Table2[[#This Row],[MT]]/Table2[[#Totals],[MT]]</f>
        <v>1.0940919037199124E-3</v>
      </c>
      <c r="X15" s="7">
        <f>Table2[[#This Row],[NL]]/Table2[[#Totals],[NL]]</f>
        <v>8.9122020778162553E-4</v>
      </c>
      <c r="Y15" s="7">
        <f>Table2[[#This Row],[NO]]/Table2[[#Totals],[NO]]</f>
        <v>2.4478245489918643E-2</v>
      </c>
      <c r="Z15" s="7">
        <f>Table2[[#This Row],[PL]]/Table2[[#Totals],[PL]]</f>
        <v>8.9037688129690283E-3</v>
      </c>
      <c r="AA15" s="7">
        <f>Table2[[#This Row],[PT]]/Table2[[#Totals],[PT]]</f>
        <v>2.9304486080369112E-3</v>
      </c>
      <c r="AB15" s="7">
        <f>Table2[[#This Row],[RO]]/Table2[[#Totals],[RO]]</f>
        <v>8.0646824660190169E-3</v>
      </c>
      <c r="AC15" s="7">
        <f>Table2[[#This Row],[SE]]/Table2[[#Totals],[SE]]</f>
        <v>1.8380445577575856E-3</v>
      </c>
      <c r="AD15" s="7">
        <f>Table2[[#This Row],[SK]]/Table2[[#Totals],[SK]]</f>
        <v>3.6983300617336634E-3</v>
      </c>
      <c r="AE15" s="7">
        <f>Table2[[#This Row],[UK]]/Table2[[#Totals],[UK]]</f>
        <v>3.6138899072958677E-3</v>
      </c>
      <c r="AF15" s="7">
        <f>AVERAGE(Table24[[#This Row],[AT]:[UK]])</f>
        <v>3.9126538441551966E-3</v>
      </c>
    </row>
    <row r="16" spans="1:32" x14ac:dyDescent="0.25">
      <c r="A16" s="5" t="s">
        <v>45</v>
      </c>
      <c r="B16" s="7">
        <f>Table2[[#This Row],[AT]]/Table2[[#Totals],[AT]]</f>
        <v>2.6633819838244865E-2</v>
      </c>
      <c r="C16" s="7">
        <f>Table2[[#This Row],[BE]]/Table2[[#Totals],[BE]]</f>
        <v>2.3179318497198953E-2</v>
      </c>
      <c r="D16" s="7">
        <f>Table2[[#This Row],[BG]]/Table2[[#Totals],[BG]]</f>
        <v>1.5779638729323829E-2</v>
      </c>
      <c r="E16" s="7">
        <f>Table2[[#This Row],[CH]]/Table2[[#Totals],[CH]]</f>
        <v>3.1880896824591658E-2</v>
      </c>
      <c r="F16" s="7">
        <f>Table2[[#This Row],[CY]]/Table2[[#Totals],[CY]]</f>
        <v>3.0052338342056392E-2</v>
      </c>
      <c r="G16" s="7">
        <f>Table2[[#This Row],[CZ]]/Table2[[#Totals],[CZ]]</f>
        <v>1.9308172431896403E-2</v>
      </c>
      <c r="H16" s="7">
        <f>Table2[[#This Row],[DE]]/Table2[[#Totals],[DE]]</f>
        <v>2.8139134914802216E-2</v>
      </c>
      <c r="I16" s="7">
        <f>Table2[[#This Row],[DK]]/Table2[[#Totals],[DK]]</f>
        <v>2.6784617274849491E-2</v>
      </c>
      <c r="J16" s="7">
        <f>Table2[[#This Row],[EE]]/Table2[[#Totals],[EE]]</f>
        <v>2.1114982578397213E-2</v>
      </c>
      <c r="K16" s="7">
        <f>Table2[[#This Row],[ES]]/Table2[[#Totals],[ES]]</f>
        <v>2.3694800381234778E-2</v>
      </c>
      <c r="L16" s="7">
        <f>Table2[[#This Row],[FI]]/Table2[[#Totals],[FI]]</f>
        <v>3.2096109019185942E-2</v>
      </c>
      <c r="M16" s="7">
        <f>Table2[[#This Row],[FR]]/Table2[[#Totals],[FR]]</f>
        <v>2.6251266795253195E-2</v>
      </c>
      <c r="N16" s="7">
        <f>Table2[[#This Row],[GR]]/Table2[[#Totals],[GR]]</f>
        <v>1.9855035296340789E-2</v>
      </c>
      <c r="O16" s="7">
        <f>Table2[[#This Row],[HR]]/Table2[[#Totals],[HR]]</f>
        <v>2.0826857320484924E-2</v>
      </c>
      <c r="P16" s="7">
        <f>Table2[[#This Row],[HU]]/Table2[[#Totals],[HU]]</f>
        <v>1.9116773544421952E-2</v>
      </c>
      <c r="Q16" s="7">
        <f>Table2[[#This Row],[IE]]/Table2[[#Totals],[IE]]</f>
        <v>2.4214110380869427E-2</v>
      </c>
      <c r="R16" s="7">
        <f>Table2[[#This Row],[IS]]/Table2[[#Totals],[IS]]</f>
        <v>2.2999889952679653E-2</v>
      </c>
      <c r="S16" s="7">
        <f>Table2[[#This Row],[IT]]/Table2[[#Totals],[IT]]</f>
        <v>3.0267641378752489E-2</v>
      </c>
      <c r="T16" s="7">
        <f>Table2[[#This Row],[LT]]/Table2[[#Totals],[LT]]</f>
        <v>2.5721498260216961E-2</v>
      </c>
      <c r="U16" s="7">
        <f>Table2[[#This Row],[LU]]/Table2[[#Totals],[LU]]</f>
        <v>2.5072755764495188E-2</v>
      </c>
      <c r="V16" s="7">
        <f>Table2[[#This Row],[LV]]/Table2[[#Totals],[LV]]</f>
        <v>1.3050153531218014E-2</v>
      </c>
      <c r="W16" s="7">
        <f>Table2[[#This Row],[MT]]/Table2[[#Totals],[MT]]</f>
        <v>2.0787746170678335E-2</v>
      </c>
      <c r="X16" s="7">
        <f>Table2[[#This Row],[NL]]/Table2[[#Totals],[NL]]</f>
        <v>2.0447137909961294E-2</v>
      </c>
      <c r="Y16" s="7">
        <f>Table2[[#This Row],[NO]]/Table2[[#Totals],[NO]]</f>
        <v>2.1153165900247611E-2</v>
      </c>
      <c r="Z16" s="7">
        <f>Table2[[#This Row],[PL]]/Table2[[#Totals],[PL]]</f>
        <v>1.7113064389070856E-2</v>
      </c>
      <c r="AA16" s="7">
        <f>Table2[[#This Row],[PT]]/Table2[[#Totals],[PT]]</f>
        <v>2.4347663434859869E-2</v>
      </c>
      <c r="AB16" s="7">
        <f>Table2[[#This Row],[RO]]/Table2[[#Totals],[RO]]</f>
        <v>1.5954045747994142E-2</v>
      </c>
      <c r="AC16" s="7">
        <f>Table2[[#This Row],[SE]]/Table2[[#Totals],[SE]]</f>
        <v>2.5184175029275307E-2</v>
      </c>
      <c r="AD16" s="7">
        <f>Table2[[#This Row],[SK]]/Table2[[#Totals],[SK]]</f>
        <v>1.5020909789195187E-2</v>
      </c>
      <c r="AE16" s="7">
        <f>Table2[[#This Row],[UK]]/Table2[[#Totals],[UK]]</f>
        <v>2.9958623579322264E-2</v>
      </c>
      <c r="AF16" s="7">
        <f>AVERAGE(Table24[[#This Row],[AT]:[UK]])</f>
        <v>2.3200211433570643E-2</v>
      </c>
    </row>
    <row r="17" spans="1:32" x14ac:dyDescent="0.25">
      <c r="A17" t="s">
        <v>46</v>
      </c>
      <c r="B17" s="7">
        <f>Table2[[#This Row],[AT]]/Table2[[#Totals],[AT]]</f>
        <v>5.7392860462954352E-2</v>
      </c>
      <c r="C17" s="7">
        <f>Table2[[#This Row],[BE]]/Table2[[#Totals],[BE]]</f>
        <v>5.2680269311815797E-2</v>
      </c>
      <c r="D17" s="7">
        <f>Table2[[#This Row],[BG]]/Table2[[#Totals],[BG]]</f>
        <v>3.0728770157104297E-2</v>
      </c>
      <c r="E17" s="7">
        <f>Table2[[#This Row],[CH]]/Table2[[#Totals],[CH]]</f>
        <v>9.3715126306178356E-2</v>
      </c>
      <c r="F17" s="7">
        <f>Table2[[#This Row],[CY]]/Table2[[#Totals],[CY]]</f>
        <v>7.743823512859474E-2</v>
      </c>
      <c r="G17" s="7">
        <f>Table2[[#This Row],[CZ]]/Table2[[#Totals],[CZ]]</f>
        <v>4.3866301114157381E-2</v>
      </c>
      <c r="H17" s="7">
        <f>Table2[[#This Row],[DE]]/Table2[[#Totals],[DE]]</f>
        <v>5.8164819262503123E-2</v>
      </c>
      <c r="I17" s="7">
        <f>Table2[[#This Row],[DK]]/Table2[[#Totals],[DK]]</f>
        <v>5.8320022934840482E-2</v>
      </c>
      <c r="J17" s="7">
        <f>Table2[[#This Row],[EE]]/Table2[[#Totals],[EE]]</f>
        <v>4.7804878048780489E-2</v>
      </c>
      <c r="K17" s="7">
        <f>Table2[[#This Row],[ES]]/Table2[[#Totals],[ES]]</f>
        <v>4.8580959440855657E-2</v>
      </c>
      <c r="L17" s="7">
        <f>Table2[[#This Row],[FI]]/Table2[[#Totals],[FI]]</f>
        <v>6.8943876636184329E-2</v>
      </c>
      <c r="M17" s="7">
        <f>Table2[[#This Row],[FR]]/Table2[[#Totals],[FR]]</f>
        <v>5.6392820948707054E-2</v>
      </c>
      <c r="N17" s="7">
        <f>Table2[[#This Row],[GR]]/Table2[[#Totals],[GR]]</f>
        <v>4.6107954161998733E-2</v>
      </c>
      <c r="O17" s="7">
        <f>Table2[[#This Row],[HR]]/Table2[[#Totals],[HR]]</f>
        <v>3.885607709045695E-2</v>
      </c>
      <c r="P17" s="7">
        <f>Table2[[#This Row],[HU]]/Table2[[#Totals],[HU]]</f>
        <v>2.5468827658104324E-2</v>
      </c>
      <c r="Q17" s="7">
        <f>Table2[[#This Row],[IE]]/Table2[[#Totals],[IE]]</f>
        <v>5.9593000237548502E-2</v>
      </c>
      <c r="R17" s="7">
        <f>Table2[[#This Row],[IS]]/Table2[[#Totals],[IS]]</f>
        <v>7.1200616264993952E-2</v>
      </c>
      <c r="S17" s="7">
        <f>Table2[[#This Row],[IT]]/Table2[[#Totals],[IT]]</f>
        <v>6.125822792489459E-2</v>
      </c>
      <c r="T17" s="7">
        <f>Table2[[#This Row],[LT]]/Table2[[#Totals],[LT]]</f>
        <v>3.9912669714129767E-2</v>
      </c>
      <c r="U17" s="7">
        <f>Table2[[#This Row],[LU]]/Table2[[#Totals],[LU]]</f>
        <v>8.7083053503469884E-2</v>
      </c>
      <c r="V17" s="7">
        <f>Table2[[#This Row],[LV]]/Table2[[#Totals],[LV]]</f>
        <v>2.8147389969293755E-2</v>
      </c>
      <c r="W17" s="7">
        <f>Table2[[#This Row],[MT]]/Table2[[#Totals],[MT]]</f>
        <v>4.9124726477024067E-2</v>
      </c>
      <c r="X17" s="7">
        <f>Table2[[#This Row],[NL]]/Table2[[#Totals],[NL]]</f>
        <v>7.8300061112242816E-2</v>
      </c>
      <c r="Y17" s="7">
        <f>Table2[[#This Row],[NO]]/Table2[[#Totals],[NO]]</f>
        <v>5.6667845772904138E-2</v>
      </c>
      <c r="Z17" s="7">
        <f>Table2[[#This Row],[PL]]/Table2[[#Totals],[PL]]</f>
        <v>3.7035117542186656E-2</v>
      </c>
      <c r="AA17" s="7">
        <f>Table2[[#This Row],[PT]]/Table2[[#Totals],[PT]]</f>
        <v>3.8828444056489074E-2</v>
      </c>
      <c r="AB17" s="7">
        <f>Table2[[#This Row],[RO]]/Table2[[#Totals],[RO]]</f>
        <v>2.0367964028628591E-2</v>
      </c>
      <c r="AC17" s="7">
        <f>Table2[[#This Row],[SE]]/Table2[[#Totals],[SE]]</f>
        <v>8.7840742332834301E-2</v>
      </c>
      <c r="AD17" s="7">
        <f>Table2[[#This Row],[SK]]/Table2[[#Totals],[SK]]</f>
        <v>3.4166880031862537E-2</v>
      </c>
      <c r="AE17" s="7">
        <f>Table2[[#This Row],[UK]]/Table2[[#Totals],[UK]]</f>
        <v>7.3194364426753256E-2</v>
      </c>
      <c r="AF17" s="7">
        <f>AVERAGE(Table24[[#This Row],[AT]:[UK]])</f>
        <v>5.4239430068616389E-2</v>
      </c>
    </row>
    <row r="18" spans="1:32" x14ac:dyDescent="0.25">
      <c r="A18" t="s">
        <v>47</v>
      </c>
      <c r="B18" s="7">
        <f>Table2[[#This Row],[AT]]/Table2[[#Totals],[AT]]</f>
        <v>6.6189458027331047E-2</v>
      </c>
      <c r="C18" s="7">
        <f>Table2[[#This Row],[BE]]/Table2[[#Totals],[BE]]</f>
        <v>8.1050521663154643E-2</v>
      </c>
      <c r="D18" s="7">
        <f>Table2[[#This Row],[BG]]/Table2[[#Totals],[BG]]</f>
        <v>6.5610076821925392E-2</v>
      </c>
      <c r="E18" s="7">
        <f>Table2[[#This Row],[CH]]/Table2[[#Totals],[CH]]</f>
        <v>5.3413817591559297E-2</v>
      </c>
      <c r="F18" s="7">
        <f>Table2[[#This Row],[CY]]/Table2[[#Totals],[CY]]</f>
        <v>6.52822331025944E-2</v>
      </c>
      <c r="G18" s="7">
        <f>Table2[[#This Row],[CZ]]/Table2[[#Totals],[CZ]]</f>
        <v>6.1249489587586768E-2</v>
      </c>
      <c r="H18" s="7">
        <f>Table2[[#This Row],[DE]]/Table2[[#Totals],[DE]]</f>
        <v>6.7067211164735921E-2</v>
      </c>
      <c r="I18" s="7">
        <f>Table2[[#This Row],[DK]]/Table2[[#Totals],[DK]]</f>
        <v>4.6770692550272351E-2</v>
      </c>
      <c r="J18" s="7">
        <f>Table2[[#This Row],[EE]]/Table2[[#Totals],[EE]]</f>
        <v>6.1393728222996519E-2</v>
      </c>
      <c r="K18" s="7">
        <f>Table2[[#This Row],[ES]]/Table2[[#Totals],[ES]]</f>
        <v>7.5267393836704444E-2</v>
      </c>
      <c r="L18" s="7">
        <f>Table2[[#This Row],[FI]]/Table2[[#Totals],[FI]]</f>
        <v>4.5364891518737675E-2</v>
      </c>
      <c r="M18" s="7">
        <f>Table2[[#This Row],[FR]]/Table2[[#Totals],[FR]]</f>
        <v>9.323613063519566E-2</v>
      </c>
      <c r="N18" s="7">
        <f>Table2[[#This Row],[GR]]/Table2[[#Totals],[GR]]</f>
        <v>7.4331529148163641E-2</v>
      </c>
      <c r="O18" s="7">
        <f>Table2[[#This Row],[HR]]/Table2[[#Totals],[HR]]</f>
        <v>6.3102269194902083E-2</v>
      </c>
      <c r="P18" s="7">
        <f>Table2[[#This Row],[HU]]/Table2[[#Totals],[HU]]</f>
        <v>9.9378129053374231E-2</v>
      </c>
      <c r="Q18" s="7">
        <f>Table2[[#This Row],[IE]]/Table2[[#Totals],[IE]]</f>
        <v>5.0803705756591974E-2</v>
      </c>
      <c r="R18" s="7">
        <f>Table2[[#This Row],[IS]]/Table2[[#Totals],[IS]]</f>
        <v>5.8765269065698247E-2</v>
      </c>
      <c r="S18" s="7">
        <f>Table2[[#This Row],[IT]]/Table2[[#Totals],[IT]]</f>
        <v>5.0201716868383532E-2</v>
      </c>
      <c r="T18" s="7">
        <f>Table2[[#This Row],[LT]]/Table2[[#Totals],[LT]]</f>
        <v>5.7139933137749878E-2</v>
      </c>
      <c r="U18" s="7">
        <f>Table2[[#This Row],[LU]]/Table2[[#Totals],[LU]]</f>
        <v>0.13140810387284532</v>
      </c>
      <c r="V18" s="7">
        <f>Table2[[#This Row],[LV]]/Table2[[#Totals],[LV]]</f>
        <v>7.4718526100307062E-2</v>
      </c>
      <c r="W18" s="7">
        <f>Table2[[#This Row],[MT]]/Table2[[#Totals],[MT]]</f>
        <v>7.144420131291028E-2</v>
      </c>
      <c r="X18" s="7">
        <f>Table2[[#This Row],[NL]]/Table2[[#Totals],[NL]]</f>
        <v>7.119576288449786E-2</v>
      </c>
      <c r="Y18" s="7">
        <f>Table2[[#This Row],[NO]]/Table2[[#Totals],[NO]]</f>
        <v>6.0983374602051645E-2</v>
      </c>
      <c r="Z18" s="7">
        <f>Table2[[#This Row],[PL]]/Table2[[#Totals],[PL]]</f>
        <v>6.4606741573033713E-2</v>
      </c>
      <c r="AA18" s="7">
        <f>Table2[[#This Row],[PT]]/Table2[[#Totals],[PT]]</f>
        <v>7.1328366119026099E-2</v>
      </c>
      <c r="AB18" s="7">
        <f>Table2[[#This Row],[RO]]/Table2[[#Totals],[RO]]</f>
        <v>3.8879607285027741E-2</v>
      </c>
      <c r="AC18" s="7">
        <f>Table2[[#This Row],[SE]]/Table2[[#Totals],[SE]]</f>
        <v>7.4322221069326885E-2</v>
      </c>
      <c r="AD18" s="7">
        <f>Table2[[#This Row],[SK]]/Table2[[#Totals],[SK]]</f>
        <v>8.6284885209524625E-2</v>
      </c>
      <c r="AE18" s="7">
        <f>Table2[[#This Row],[UK]]/Table2[[#Totals],[UK]]</f>
        <v>6.3714450322107583E-2</v>
      </c>
      <c r="AF18" s="7">
        <f>AVERAGE(Table24[[#This Row],[AT]:[UK]])</f>
        <v>6.8150147909943878E-2</v>
      </c>
    </row>
    <row r="19" spans="1:32" x14ac:dyDescent="0.25">
      <c r="A19" t="s">
        <v>48</v>
      </c>
      <c r="B19" s="7">
        <f>Table2[[#This Row],[AT]]/Table2[[#Totals],[AT]]</f>
        <v>8.3666449753648786E-3</v>
      </c>
      <c r="C19" s="7">
        <f>Table2[[#This Row],[BE]]/Table2[[#Totals],[BE]]</f>
        <v>8.5316338592794361E-3</v>
      </c>
      <c r="D19" s="7">
        <f>Table2[[#This Row],[BG]]/Table2[[#Totals],[BG]]</f>
        <v>3.1144023807875977E-3</v>
      </c>
      <c r="E19" s="7">
        <f>Table2[[#This Row],[CH]]/Table2[[#Totals],[CH]]</f>
        <v>1.1945825301815968E-2</v>
      </c>
      <c r="F19" s="7">
        <f>Table2[[#This Row],[CY]]/Table2[[#Totals],[CY]]</f>
        <v>6.3593899487872137E-3</v>
      </c>
      <c r="G19" s="7">
        <f>Table2[[#This Row],[CZ]]/Table2[[#Totals],[CZ]]</f>
        <v>7.4082715977366858E-3</v>
      </c>
      <c r="H19" s="7">
        <f>Table2[[#This Row],[DE]]/Table2[[#Totals],[DE]]</f>
        <v>5.0573162508428865E-3</v>
      </c>
      <c r="I19" s="7">
        <f>Table2[[#This Row],[DK]]/Table2[[#Totals],[DK]]</f>
        <v>1.4375230372281608E-2</v>
      </c>
      <c r="J19" s="7">
        <f>Table2[[#This Row],[EE]]/Table2[[#Totals],[EE]]</f>
        <v>1.7421602787456445E-2</v>
      </c>
      <c r="K19" s="7">
        <f>Table2[[#This Row],[ES]]/Table2[[#Totals],[ES]]</f>
        <v>6.1421158530128141E-3</v>
      </c>
      <c r="L19" s="7">
        <f>Table2[[#This Row],[FI]]/Table2[[#Totals],[FI]]</f>
        <v>9.6826250672404513E-3</v>
      </c>
      <c r="M19" s="7">
        <f>Table2[[#This Row],[FR]]/Table2[[#Totals],[FR]]</f>
        <v>1.1017032266501029E-2</v>
      </c>
      <c r="N19" s="7">
        <f>Table2[[#This Row],[GR]]/Table2[[#Totals],[GR]]</f>
        <v>1.2012903748295923E-3</v>
      </c>
      <c r="O19" s="7">
        <f>Table2[[#This Row],[HR]]/Table2[[#Totals],[HR]]</f>
        <v>2.7976375505129004E-3</v>
      </c>
      <c r="P19" s="7">
        <f>Table2[[#This Row],[HU]]/Table2[[#Totals],[HU]]</f>
        <v>3.8791170159892356E-3</v>
      </c>
      <c r="Q19" s="7">
        <f>Table2[[#This Row],[IE]]/Table2[[#Totals],[IE]]</f>
        <v>4.0858341911473592E-3</v>
      </c>
      <c r="R19" s="7">
        <f>Table2[[#This Row],[IS]]/Table2[[#Totals],[IS]]</f>
        <v>7.1530758226037196E-3</v>
      </c>
      <c r="S19" s="7">
        <f>Table2[[#This Row],[IT]]/Table2[[#Totals],[IT]]</f>
        <v>6.2132839910617691E-3</v>
      </c>
      <c r="T19" s="7">
        <f>Table2[[#This Row],[LT]]/Table2[[#Totals],[LT]]</f>
        <v>9.8246571604011738E-3</v>
      </c>
      <c r="U19" s="7">
        <f>Table2[[#This Row],[LU]]/Table2[[#Totals],[LU]]</f>
        <v>7.6113722856503245E-3</v>
      </c>
      <c r="V19" s="7">
        <f>Table2[[#This Row],[LV]]/Table2[[#Totals],[LV]]</f>
        <v>2.2006141248720572E-2</v>
      </c>
      <c r="W19" s="7">
        <f>Table2[[#This Row],[MT]]/Table2[[#Totals],[MT]]</f>
        <v>1.0393873085339168E-2</v>
      </c>
      <c r="X19" s="7">
        <f>Table2[[#This Row],[NL]]/Table2[[#Totals],[NL]]</f>
        <v>7.9191281320024447E-3</v>
      </c>
      <c r="Y19" s="7">
        <f>Table2[[#This Row],[NO]]/Table2[[#Totals],[NO]]</f>
        <v>9.6922532720198091E-3</v>
      </c>
      <c r="Z19" s="7">
        <f>Table2[[#This Row],[PL]]/Table2[[#Totals],[PL]]</f>
        <v>1.0883535801650151E-2</v>
      </c>
      <c r="AA19" s="7">
        <f>Table2[[#This Row],[PT]]/Table2[[#Totals],[PT]]</f>
        <v>1.0443620039280481E-2</v>
      </c>
      <c r="AB19" s="7">
        <f>Table2[[#This Row],[RO]]/Table2[[#Totals],[RO]]</f>
        <v>2.0419528494523853E-3</v>
      </c>
      <c r="AC19" s="7">
        <f>Table2[[#This Row],[SE]]/Table2[[#Totals],[SE]]</f>
        <v>1.6438640439944859E-2</v>
      </c>
      <c r="AD19" s="7">
        <f>Table2[[#This Row],[SK]]/Table2[[#Totals],[SK]]</f>
        <v>6.6854428039031608E-3</v>
      </c>
      <c r="AE19" s="7">
        <f>Table2[[#This Row],[UK]]/Table2[[#Totals],[UK]]</f>
        <v>1.1522547530508563E-2</v>
      </c>
      <c r="AF19" s="7">
        <f>AVERAGE(Table24[[#This Row],[AT]:[UK]])</f>
        <v>8.6738498085374913E-3</v>
      </c>
    </row>
    <row r="20" spans="1:32" x14ac:dyDescent="0.25">
      <c r="A20" s="2" t="s">
        <v>49</v>
      </c>
      <c r="B20" s="7">
        <f>Table2[[#This Row],[AT]]/Table2[[#Totals],[AT]]</f>
        <v>4.9932602026587336E-2</v>
      </c>
      <c r="C20" s="7">
        <f>Table2[[#This Row],[BE]]/Table2[[#Totals],[BE]]</f>
        <v>5.3451200082232614E-2</v>
      </c>
      <c r="D20" s="7">
        <f>Table2[[#This Row],[BG]]/Table2[[#Totals],[BG]]</f>
        <v>6.2703301266523639E-2</v>
      </c>
      <c r="E20" s="7">
        <f>Table2[[#This Row],[CH]]/Table2[[#Totals],[CH]]</f>
        <v>4.1467992289743329E-2</v>
      </c>
      <c r="F20" s="7">
        <f>Table2[[#This Row],[CY]]/Table2[[#Totals],[CY]]</f>
        <v>4.2602284878158592E-2</v>
      </c>
      <c r="G20" s="7">
        <f>Table2[[#This Row],[CZ]]/Table2[[#Totals],[CZ]]</f>
        <v>6.4399463337805524E-2</v>
      </c>
      <c r="H20" s="7">
        <f>Table2[[#This Row],[DE]]/Table2[[#Totals],[DE]]</f>
        <v>4.9527604991400666E-2</v>
      </c>
      <c r="I20" s="7">
        <f>Table2[[#This Row],[DK]]/Table2[[#Totals],[DK]]</f>
        <v>4.0217880984559938E-2</v>
      </c>
      <c r="J20" s="7">
        <f>Table2[[#This Row],[EE]]/Table2[[#Totals],[EE]]</f>
        <v>6.9477351916376301E-2</v>
      </c>
      <c r="K20" s="7">
        <f>Table2[[#This Row],[ES]]/Table2[[#Totals],[ES]]</f>
        <v>4.8157365244096154E-2</v>
      </c>
      <c r="L20" s="7">
        <f>Table2[[#This Row],[FI]]/Table2[[#Totals],[FI]]</f>
        <v>5.8812981889904969E-2</v>
      </c>
      <c r="M20" s="7">
        <f>Table2[[#This Row],[FR]]/Table2[[#Totals],[FR]]</f>
        <v>5.1456405897544868E-2</v>
      </c>
      <c r="N20" s="7">
        <f>Table2[[#This Row],[GR]]/Table2[[#Totals],[GR]]</f>
        <v>4.8281074952420802E-2</v>
      </c>
      <c r="O20" s="7">
        <f>Table2[[#This Row],[HR]]/Table2[[#Totals],[HR]]</f>
        <v>5.6574448243705312E-2</v>
      </c>
      <c r="P20" s="7">
        <f>Table2[[#This Row],[HU]]/Table2[[#Totals],[HU]]</f>
        <v>6.2684106530251055E-2</v>
      </c>
      <c r="Q20" s="7">
        <f>Table2[[#This Row],[IE]]/Table2[[#Totals],[IE]]</f>
        <v>4.7256314830944654E-2</v>
      </c>
      <c r="R20" s="7">
        <f>Table2[[#This Row],[IS]]/Table2[[#Totals],[IS]]</f>
        <v>6.1956641355782986E-2</v>
      </c>
      <c r="S20" s="7">
        <f>Table2[[#This Row],[IT]]/Table2[[#Totals],[IT]]</f>
        <v>4.7330158441269553E-2</v>
      </c>
      <c r="T20" s="7">
        <f>Table2[[#This Row],[LT]]/Table2[[#Totals],[LT]]</f>
        <v>7.3480248345500446E-2</v>
      </c>
      <c r="U20" s="7">
        <f>Table2[[#This Row],[LU]]/Table2[[#Totals],[LU]]</f>
        <v>4.5220505932393108E-2</v>
      </c>
      <c r="V20" s="7">
        <f>Table2[[#This Row],[LV]]/Table2[[#Totals],[LV]]</f>
        <v>7.8812691914022515E-2</v>
      </c>
      <c r="W20" s="7">
        <f>Table2[[#This Row],[MT]]/Table2[[#Totals],[MT]]</f>
        <v>5.6345733041575495E-2</v>
      </c>
      <c r="X20" s="7">
        <f>Table2[[#This Row],[NL]]/Table2[[#Totals],[NL]]</f>
        <v>4.4892035037685886E-2</v>
      </c>
      <c r="Y20" s="7">
        <f>Table2[[#This Row],[NO]]/Table2[[#Totals],[NO]]</f>
        <v>4.8532012734347367E-2</v>
      </c>
      <c r="Z20" s="7">
        <f>Table2[[#This Row],[PL]]/Table2[[#Totals],[PL]]</f>
        <v>5.9403374932625728E-2</v>
      </c>
      <c r="AA20" s="7">
        <f>Table2[[#This Row],[PT]]/Table2[[#Totals],[PT]]</f>
        <v>4.325529195373632E-2</v>
      </c>
      <c r="AB20" s="7">
        <f>Table2[[#This Row],[RO]]/Table2[[#Totals],[RO]]</f>
        <v>5.734999896871068E-2</v>
      </c>
      <c r="AC20" s="7">
        <f>Table2[[#This Row],[SE]]/Table2[[#Totals],[SE]]</f>
        <v>4.5862176304048145E-2</v>
      </c>
      <c r="AD20" s="7">
        <f>Table2[[#This Row],[SK]]/Table2[[#Totals],[SK]]</f>
        <v>6.7907029671986571E-2</v>
      </c>
      <c r="AE20" s="7">
        <f>Table2[[#This Row],[UK]]/Table2[[#Totals],[UK]]</f>
        <v>4.9835018069449538E-2</v>
      </c>
      <c r="AF20" s="7">
        <f>AVERAGE(Table24[[#This Row],[AT]:[UK]])</f>
        <v>5.4239509868846333E-2</v>
      </c>
    </row>
    <row r="21" spans="1:32" x14ac:dyDescent="0.25">
      <c r="A21" t="s">
        <v>50</v>
      </c>
      <c r="B21" s="7">
        <f>Table2[[#This Row],[AT]]/Table2[[#Totals],[AT]]</f>
        <v>4.6829971181556193E-3</v>
      </c>
      <c r="C21" s="7">
        <f>Table2[[#This Row],[BE]]/Table2[[#Totals],[BE]]</f>
        <v>8.2232615511127101E-3</v>
      </c>
      <c r="D21" s="7">
        <f>Table2[[#This Row],[BG]]/Table2[[#Totals],[BG]]</f>
        <v>1.0796594920063672E-2</v>
      </c>
      <c r="E21" s="7">
        <f>Table2[[#This Row],[CH]]/Table2[[#Totals],[CH]]</f>
        <v>3.0942477427209091E-3</v>
      </c>
      <c r="F21" s="7">
        <f>Table2[[#This Row],[CY]]/Table2[[#Totals],[CY]]</f>
        <v>7.9914457763520744E-3</v>
      </c>
      <c r="G21" s="7">
        <f>Table2[[#This Row],[CZ]]/Table2[[#Totals],[CZ]]</f>
        <v>1.2599895000874993E-2</v>
      </c>
      <c r="H21" s="7">
        <f>Table2[[#This Row],[DE]]/Table2[[#Totals],[DE]]</f>
        <v>6.273345102169153E-3</v>
      </c>
      <c r="I21" s="7">
        <f>Table2[[#This Row],[DK]]/Table2[[#Totals],[DK]]</f>
        <v>5.5698898308555516E-3</v>
      </c>
      <c r="J21" s="7">
        <f>Table2[[#This Row],[EE]]/Table2[[#Totals],[EE]]</f>
        <v>4.5296167247386764E-3</v>
      </c>
      <c r="K21" s="7">
        <f>Table2[[#This Row],[ES]]/Table2[[#Totals],[ES]]</f>
        <v>7.5187969924812026E-3</v>
      </c>
      <c r="L21" s="7">
        <f>Table2[[#This Row],[FI]]/Table2[[#Totals],[FI]]</f>
        <v>4.0344271113501879E-3</v>
      </c>
      <c r="M21" s="7">
        <f>Table2[[#This Row],[FR]]/Table2[[#Totals],[FR]]</f>
        <v>7.4536598123508451E-3</v>
      </c>
      <c r="N21" s="7">
        <f>Table2[[#This Row],[GR]]/Table2[[#Totals],[GR]]</f>
        <v>7.8826244820278859E-3</v>
      </c>
      <c r="O21" s="7">
        <f>Table2[[#This Row],[HR]]/Table2[[#Totals],[HR]]</f>
        <v>1.9894311470313956E-2</v>
      </c>
      <c r="P21" s="7">
        <f>Table2[[#This Row],[HU]]/Table2[[#Totals],[HU]]</f>
        <v>1.4086043664310911E-2</v>
      </c>
      <c r="Q21" s="7">
        <f>Table2[[#This Row],[IE]]/Table2[[#Totals],[IE]]</f>
        <v>5.3685960883680418E-3</v>
      </c>
      <c r="R21" s="7">
        <f>Table2[[#This Row],[IS]]/Table2[[#Totals],[IS]]</f>
        <v>3.6315615714757345E-3</v>
      </c>
      <c r="S21" s="7">
        <f>Table2[[#This Row],[IT]]/Table2[[#Totals],[IT]]</f>
        <v>1.0611621722732834E-2</v>
      </c>
      <c r="T21" s="7">
        <f>Table2[[#This Row],[LT]]/Table2[[#Totals],[LT]]</f>
        <v>1.5112233062700417E-2</v>
      </c>
      <c r="U21" s="7">
        <f>Table2[[#This Row],[LU]]/Table2[[#Totals],[LU]]</f>
        <v>2.910230579807477E-3</v>
      </c>
      <c r="V21" s="7">
        <f>Table2[[#This Row],[LV]]/Table2[[#Totals],[LV]]</f>
        <v>6.3971340839303996E-3</v>
      </c>
      <c r="W21" s="7">
        <f>Table2[[#This Row],[MT]]/Table2[[#Totals],[MT]]</f>
        <v>1.1487964989059081E-2</v>
      </c>
      <c r="X21" s="7">
        <f>Table2[[#This Row],[NL]]/Table2[[#Totals],[NL]]</f>
        <v>4.532491342432267E-3</v>
      </c>
      <c r="Y21" s="7">
        <f>Table2[[#This Row],[NO]]/Table2[[#Totals],[NO]]</f>
        <v>4.7400070746374248E-3</v>
      </c>
      <c r="Z21" s="7">
        <f>Table2[[#This Row],[PL]]/Table2[[#Totals],[PL]]</f>
        <v>1.140179941125254E-2</v>
      </c>
      <c r="AA21" s="7">
        <f>Table2[[#This Row],[PT]]/Table2[[#Totals],[PT]]</f>
        <v>8.6978208685350878E-3</v>
      </c>
      <c r="AB21" s="7">
        <f>Table2[[#This Row],[RO]]/Table2[[#Totals],[RO]]</f>
        <v>1.211764948538663E-2</v>
      </c>
      <c r="AC21" s="7">
        <f>Table2[[#This Row],[SE]]/Table2[[#Totals],[SE]]</f>
        <v>5.1435601737248567E-3</v>
      </c>
      <c r="AD21" s="7">
        <f>Table2[[#This Row],[SK]]/Table2[[#Totals],[SK]]</f>
        <v>1.007083724502859E-2</v>
      </c>
      <c r="AE21" s="7">
        <f>Table2[[#This Row],[UK]]/Table2[[#Totals],[UK]]</f>
        <v>6.861153302257372E-3</v>
      </c>
      <c r="AF21" s="7">
        <f>AVERAGE(Table24[[#This Row],[AT]:[UK]])</f>
        <v>8.1238606100402354E-3</v>
      </c>
    </row>
    <row r="22" spans="1:32" x14ac:dyDescent="0.25">
      <c r="A22" t="s">
        <v>51</v>
      </c>
      <c r="B22" s="7">
        <f>Table2[[#This Row],[AT]]/Table2[[#Totals],[AT]]</f>
        <v>0.14721809054569118</v>
      </c>
      <c r="C22" s="7">
        <f>Table2[[#This Row],[BE]]/Table2[[#Totals],[BE]]</f>
        <v>0.12874543865960836</v>
      </c>
      <c r="D22" s="7">
        <f>Table2[[#This Row],[BG]]/Table2[[#Totals],[BG]]</f>
        <v>0.15502802962142709</v>
      </c>
      <c r="E22" s="7">
        <f>Table2[[#This Row],[CH]]/Table2[[#Totals],[CH]]</f>
        <v>0.11786040377396774</v>
      </c>
      <c r="F22" s="7">
        <f>Table2[[#This Row],[CY]]/Table2[[#Totals],[CY]]</f>
        <v>0.17845686307614383</v>
      </c>
      <c r="G22" s="7">
        <f>Table2[[#This Row],[CZ]]/Table2[[#Totals],[CZ]]</f>
        <v>0.11112407396605029</v>
      </c>
      <c r="H22" s="7">
        <f>Table2[[#This Row],[DE]]/Table2[[#Totals],[DE]]</f>
        <v>0.13760824929727927</v>
      </c>
      <c r="I22" s="7">
        <f>Table2[[#This Row],[DK]]/Table2[[#Totals],[DK]]</f>
        <v>0.15962239423352581</v>
      </c>
      <c r="J22" s="7">
        <f>Table2[[#This Row],[EE]]/Table2[[#Totals],[EE]]</f>
        <v>0.1326829268292683</v>
      </c>
      <c r="K22" s="7">
        <f>Table2[[#This Row],[ES]]/Table2[[#Totals],[ES]]</f>
        <v>0.15397649052207985</v>
      </c>
      <c r="L22" s="7">
        <f>Table2[[#This Row],[FI]]/Table2[[#Totals],[FI]]</f>
        <v>0.10991572530034069</v>
      </c>
      <c r="M22" s="7">
        <f>Table2[[#This Row],[FR]]/Table2[[#Totals],[FR]]</f>
        <v>0.12609107849226847</v>
      </c>
      <c r="N22" s="7">
        <f>Table2[[#This Row],[GR]]/Table2[[#Totals],[GR]]</f>
        <v>0.16872055826258317</v>
      </c>
      <c r="O22" s="7">
        <f>Table2[[#This Row],[HR]]/Table2[[#Totals],[HR]]</f>
        <v>0.13179981349082998</v>
      </c>
      <c r="P22" s="7">
        <f>Table2[[#This Row],[HU]]/Table2[[#Totals],[HU]]</f>
        <v>0.11311262773811111</v>
      </c>
      <c r="Q22" s="7">
        <f>Table2[[#This Row],[IE]]/Table2[[#Totals],[IE]]</f>
        <v>0.13035077995090663</v>
      </c>
      <c r="R22" s="7">
        <f>Table2[[#This Row],[IS]]/Table2[[#Totals],[IS]]</f>
        <v>0.1162099702872235</v>
      </c>
      <c r="S22" s="7">
        <f>Table2[[#This Row],[IT]]/Table2[[#Totals],[IT]]</f>
        <v>0.13954358398802844</v>
      </c>
      <c r="T22" s="7">
        <f>Table2[[#This Row],[LT]]/Table2[[#Totals],[LT]]</f>
        <v>0.16364194582793204</v>
      </c>
      <c r="U22" s="7">
        <f>Table2[[#This Row],[LU]]/Table2[[#Totals],[LU]]</f>
        <v>7.5889858965748819E-2</v>
      </c>
      <c r="V22" s="7">
        <f>Table2[[#This Row],[LV]]/Table2[[#Totals],[LV]]</f>
        <v>0.14866939611054247</v>
      </c>
      <c r="W22" s="7">
        <f>Table2[[#This Row],[MT]]/Table2[[#Totals],[MT]]</f>
        <v>0.1573304157549234</v>
      </c>
      <c r="X22" s="7">
        <f>Table2[[#This Row],[NL]]/Table2[[#Totals],[NL]]</f>
        <v>0.15428294968425341</v>
      </c>
      <c r="Y22" s="7">
        <f>Table2[[#This Row],[NO]]/Table2[[#Totals],[NO]]</f>
        <v>0.13243721259285463</v>
      </c>
      <c r="Z22" s="7">
        <f>Table2[[#This Row],[PL]]/Table2[[#Totals],[PL]]</f>
        <v>0.14279198971764998</v>
      </c>
      <c r="AA22" s="7">
        <f>Table2[[#This Row],[PT]]/Table2[[#Totals],[PT]]</f>
        <v>0.14215793247498207</v>
      </c>
      <c r="AB22" s="7">
        <f>Table2[[#This Row],[RO]]/Table2[[#Totals],[RO]]</f>
        <v>0.14873254542829445</v>
      </c>
      <c r="AC22" s="7">
        <f>Table2[[#This Row],[SE]]/Table2[[#Totals],[SE]]</f>
        <v>0.10530216563153136</v>
      </c>
      <c r="AD22" s="7">
        <f>Table2[[#This Row],[SK]]/Table2[[#Totals],[SK]]</f>
        <v>0.12176040510938523</v>
      </c>
      <c r="AE22" s="7">
        <f>Table2[[#This Row],[UK]]/Table2[[#Totals],[UK]]</f>
        <v>0.12617189545906876</v>
      </c>
      <c r="AF22" s="7">
        <f>AVERAGE(Table24[[#This Row],[AT]:[UK]])</f>
        <v>0.13590786035975</v>
      </c>
    </row>
    <row r="23" spans="1:32" x14ac:dyDescent="0.25">
      <c r="B23">
        <f>SUM(Table24[AT])</f>
        <v>1.0000000000000002</v>
      </c>
      <c r="C23">
        <f>SUM(Table24[BE])</f>
        <v>1</v>
      </c>
      <c r="D23">
        <f>SUM(Table24[BG])</f>
        <v>1</v>
      </c>
      <c r="E23">
        <f>SUM(Table24[CH])</f>
        <v>1</v>
      </c>
      <c r="F23">
        <f>SUM(Table24[CY])</f>
        <v>0.99999999999999989</v>
      </c>
      <c r="G23">
        <f>SUM(Table24[CZ])</f>
        <v>1</v>
      </c>
      <c r="H23">
        <f>SUM(Table24[DE])</f>
        <v>1</v>
      </c>
      <c r="I23">
        <f>SUM(Table24[DK])</f>
        <v>1</v>
      </c>
      <c r="J23">
        <f>SUM(Table24[EE])</f>
        <v>0.99999999999999989</v>
      </c>
      <c r="K23">
        <f>SUM(Table24[ES])</f>
        <v>0.99999999999999989</v>
      </c>
      <c r="L23">
        <f>SUM(Table24[FI])</f>
        <v>1</v>
      </c>
      <c r="M23">
        <f>SUM(Table24[FR])</f>
        <v>1</v>
      </c>
      <c r="N23">
        <f>SUM(Table24[GR])</f>
        <v>1.0000000000000002</v>
      </c>
      <c r="O23">
        <f>SUM(Table24[HR])</f>
        <v>0.99999999999999978</v>
      </c>
      <c r="P23">
        <f>SUM(Table24[HU])</f>
        <v>0.99999999999999989</v>
      </c>
      <c r="Q23">
        <f>SUM(Table24[IE])</f>
        <v>0.99999999999999989</v>
      </c>
      <c r="R23">
        <f>SUM(Table24[IS])</f>
        <v>0.99999999999999978</v>
      </c>
      <c r="S23">
        <f>SUM(Table24[IT])</f>
        <v>0.99999999999999989</v>
      </c>
      <c r="T23">
        <f>SUM(Table24[LT])</f>
        <v>1</v>
      </c>
      <c r="U23">
        <f>SUM(Table24[LU])</f>
        <v>1</v>
      </c>
      <c r="V23">
        <f>SUM(Table24[LV])</f>
        <v>1</v>
      </c>
      <c r="W23">
        <f>SUM(Table24[MT])</f>
        <v>1</v>
      </c>
      <c r="X23">
        <f>SUM(Table24[NL])</f>
        <v>1.0000000000000002</v>
      </c>
      <c r="Y23">
        <f>SUM(Table24[NO])</f>
        <v>1.0000000000000002</v>
      </c>
      <c r="Z23">
        <f>SUM(Table24[PL])</f>
        <v>1</v>
      </c>
      <c r="AA23">
        <f>SUM(Table24[PT])</f>
        <v>1</v>
      </c>
      <c r="AB23">
        <f>SUM(Table24[RO])</f>
        <v>1</v>
      </c>
      <c r="AC23">
        <f>SUM(Table24[SE])</f>
        <v>0.99999999999999989</v>
      </c>
      <c r="AD23">
        <f>SUM(Table24[SK])</f>
        <v>1</v>
      </c>
      <c r="AE23">
        <f>SUM(Table24[UK])</f>
        <v>1</v>
      </c>
    </row>
  </sheetData>
  <conditionalFormatting sqref="B2:AE2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2"/>
  <sheetViews>
    <sheetView tabSelected="1" workbookViewId="0">
      <selection activeCell="AB23" sqref="AB23"/>
    </sheetView>
  </sheetViews>
  <sheetFormatPr defaultRowHeight="15" x14ac:dyDescent="0.25"/>
  <cols>
    <col min="1" max="1" width="67" customWidth="1"/>
    <col min="2" max="2" width="5.5703125" bestFit="1" customWidth="1"/>
    <col min="3" max="3" width="5.42578125" bestFit="1" customWidth="1"/>
    <col min="4" max="4" width="5.85546875" bestFit="1" customWidth="1"/>
    <col min="5" max="5" width="5.7109375" bestFit="1" customWidth="1"/>
    <col min="6" max="6" width="5.5703125" bestFit="1" customWidth="1"/>
    <col min="7" max="7" width="5.42578125" bestFit="1" customWidth="1"/>
    <col min="8" max="8" width="5.5703125" bestFit="1" customWidth="1"/>
    <col min="9" max="9" width="5.7109375" bestFit="1" customWidth="1"/>
    <col min="10" max="11" width="5.28515625" bestFit="1" customWidth="1"/>
    <col min="12" max="12" width="4.85546875" bestFit="1" customWidth="1"/>
    <col min="13" max="13" width="5.42578125" bestFit="1" customWidth="1"/>
    <col min="14" max="14" width="5.85546875" bestFit="1" customWidth="1"/>
    <col min="15" max="15" width="5.7109375" bestFit="1" customWidth="1"/>
    <col min="16" max="16" width="6" bestFit="1" customWidth="1"/>
    <col min="17" max="19" width="4.85546875" bestFit="1" customWidth="1"/>
    <col min="20" max="20" width="5.140625" bestFit="1" customWidth="1"/>
    <col min="21" max="21" width="5.5703125" bestFit="1" customWidth="1"/>
    <col min="22" max="22" width="5.42578125" bestFit="1" customWidth="1"/>
    <col min="23" max="23" width="6.140625" bestFit="1" customWidth="1"/>
    <col min="24" max="24" width="5.5703125" bestFit="1" customWidth="1"/>
    <col min="25" max="25" width="6.140625" bestFit="1" customWidth="1"/>
    <col min="26" max="26" width="5.28515625" bestFit="1" customWidth="1"/>
    <col min="27" max="27" width="5.42578125" bestFit="1" customWidth="1"/>
    <col min="28" max="28" width="5.85546875" bestFit="1" customWidth="1"/>
    <col min="29" max="29" width="5.28515625" bestFit="1" customWidth="1"/>
    <col min="30" max="30" width="5.42578125" bestFit="1" customWidth="1"/>
    <col min="31" max="31" width="5.85546875" bestFit="1" customWidth="1"/>
    <col min="32" max="32" width="9.57031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52</v>
      </c>
      <c r="AG1" t="s">
        <v>53</v>
      </c>
    </row>
    <row r="2" spans="1:33" x14ac:dyDescent="0.25">
      <c r="A2" t="s">
        <v>31</v>
      </c>
      <c r="B2">
        <v>88</v>
      </c>
      <c r="C2">
        <v>46</v>
      </c>
      <c r="D2">
        <v>30</v>
      </c>
      <c r="E2">
        <v>83</v>
      </c>
      <c r="F2">
        <v>46</v>
      </c>
      <c r="G2">
        <v>31</v>
      </c>
      <c r="H2">
        <v>89</v>
      </c>
      <c r="I2">
        <v>60</v>
      </c>
      <c r="J2">
        <v>40</v>
      </c>
      <c r="K2">
        <v>61</v>
      </c>
      <c r="L2">
        <v>26</v>
      </c>
      <c r="M2">
        <v>59</v>
      </c>
      <c r="N2">
        <v>60</v>
      </c>
      <c r="O2">
        <v>26</v>
      </c>
      <c r="P2">
        <v>70</v>
      </c>
      <c r="Q2">
        <v>59</v>
      </c>
      <c r="R2">
        <v>37</v>
      </c>
      <c r="S2">
        <v>73</v>
      </c>
      <c r="T2">
        <v>49</v>
      </c>
      <c r="U2">
        <v>19</v>
      </c>
      <c r="V2">
        <v>25</v>
      </c>
      <c r="W2">
        <v>9</v>
      </c>
      <c r="X2">
        <v>69</v>
      </c>
      <c r="Y2">
        <v>35</v>
      </c>
      <c r="Z2">
        <v>33</v>
      </c>
      <c r="AA2">
        <v>66</v>
      </c>
      <c r="AB2">
        <v>51</v>
      </c>
      <c r="AC2">
        <v>44</v>
      </c>
      <c r="AD2">
        <v>42</v>
      </c>
      <c r="AE2">
        <v>55</v>
      </c>
      <c r="AF2" s="8">
        <f>AVERAGE(Table1[[#This Row],[AT]:[UK]])</f>
        <v>49.366666666666667</v>
      </c>
      <c r="AG2">
        <f>_xlfn.STDEV.S(Table1[[#This Row],[AT]:[UK]])</f>
        <v>20.504807398187904</v>
      </c>
    </row>
    <row r="3" spans="1:33" x14ac:dyDescent="0.25">
      <c r="A3" t="s">
        <v>32</v>
      </c>
      <c r="B3">
        <v>24</v>
      </c>
      <c r="C3">
        <v>40</v>
      </c>
      <c r="D3">
        <v>1</v>
      </c>
      <c r="E3">
        <v>29</v>
      </c>
      <c r="F3">
        <v>19</v>
      </c>
      <c r="G3">
        <v>1</v>
      </c>
      <c r="H3">
        <v>38</v>
      </c>
      <c r="I3">
        <v>10</v>
      </c>
      <c r="J3">
        <v>5</v>
      </c>
      <c r="K3">
        <v>1</v>
      </c>
      <c r="L3">
        <v>2</v>
      </c>
      <c r="M3">
        <v>12</v>
      </c>
      <c r="N3">
        <v>13</v>
      </c>
      <c r="O3">
        <v>1</v>
      </c>
      <c r="P3">
        <v>3</v>
      </c>
      <c r="Q3">
        <v>9</v>
      </c>
      <c r="R3">
        <v>2</v>
      </c>
      <c r="S3">
        <v>34</v>
      </c>
      <c r="T3">
        <v>0</v>
      </c>
      <c r="U3">
        <v>33</v>
      </c>
      <c r="V3">
        <v>0</v>
      </c>
      <c r="W3">
        <v>3</v>
      </c>
      <c r="X3">
        <v>2</v>
      </c>
      <c r="Y3">
        <v>3</v>
      </c>
      <c r="Z3">
        <v>2</v>
      </c>
      <c r="AA3">
        <v>13</v>
      </c>
      <c r="AB3">
        <v>2</v>
      </c>
      <c r="AC3">
        <v>6</v>
      </c>
      <c r="AD3">
        <v>6</v>
      </c>
      <c r="AE3">
        <v>23</v>
      </c>
      <c r="AF3" s="8">
        <f>AVERAGE(Table1[[#This Row],[AT]:[UK]])</f>
        <v>11.233333333333333</v>
      </c>
      <c r="AG3">
        <f>_xlfn.STDEV.S(Table1[[#This Row],[AT]:[UK]])</f>
        <v>12.62368691248194</v>
      </c>
    </row>
    <row r="4" spans="1:33" x14ac:dyDescent="0.25">
      <c r="A4" t="s">
        <v>33</v>
      </c>
      <c r="B4">
        <v>13</v>
      </c>
      <c r="C4">
        <v>8</v>
      </c>
      <c r="D4">
        <v>6</v>
      </c>
      <c r="E4">
        <v>47</v>
      </c>
      <c r="F4">
        <v>6</v>
      </c>
      <c r="G4">
        <v>4</v>
      </c>
      <c r="H4">
        <v>31</v>
      </c>
      <c r="I4">
        <v>6</v>
      </c>
      <c r="J4">
        <v>1</v>
      </c>
      <c r="K4">
        <v>14</v>
      </c>
      <c r="L4">
        <v>5</v>
      </c>
      <c r="M4">
        <v>19</v>
      </c>
      <c r="N4">
        <v>12</v>
      </c>
      <c r="O4">
        <v>2</v>
      </c>
      <c r="P4">
        <v>10</v>
      </c>
      <c r="Q4">
        <v>7</v>
      </c>
      <c r="R4">
        <v>0</v>
      </c>
      <c r="S4">
        <v>24</v>
      </c>
      <c r="T4">
        <v>3</v>
      </c>
      <c r="U4">
        <v>6</v>
      </c>
      <c r="V4">
        <v>2</v>
      </c>
      <c r="W4">
        <v>3</v>
      </c>
      <c r="X4">
        <v>15</v>
      </c>
      <c r="Y4">
        <v>1</v>
      </c>
      <c r="Z4">
        <v>9</v>
      </c>
      <c r="AA4">
        <v>13</v>
      </c>
      <c r="AB4">
        <v>10</v>
      </c>
      <c r="AC4">
        <v>1</v>
      </c>
      <c r="AD4">
        <v>3</v>
      </c>
      <c r="AE4">
        <v>13</v>
      </c>
      <c r="AF4" s="8">
        <f>AVERAGE(Table1[[#This Row],[AT]:[UK]])</f>
        <v>9.8000000000000007</v>
      </c>
      <c r="AG4">
        <f>_xlfn.STDEV.S(Table1[[#This Row],[AT]:[UK]])</f>
        <v>10.025484767710049</v>
      </c>
    </row>
    <row r="5" spans="1:33" x14ac:dyDescent="0.25">
      <c r="A5" t="s">
        <v>34</v>
      </c>
      <c r="B5">
        <v>89</v>
      </c>
      <c r="C5">
        <v>76</v>
      </c>
      <c r="D5">
        <v>29</v>
      </c>
      <c r="E5">
        <v>102</v>
      </c>
      <c r="F5">
        <v>44</v>
      </c>
      <c r="G5">
        <v>53</v>
      </c>
      <c r="H5">
        <v>104</v>
      </c>
      <c r="I5">
        <v>79</v>
      </c>
      <c r="J5">
        <v>57</v>
      </c>
      <c r="K5">
        <v>72</v>
      </c>
      <c r="L5">
        <v>64</v>
      </c>
      <c r="M5">
        <v>89</v>
      </c>
      <c r="N5">
        <v>59</v>
      </c>
      <c r="O5">
        <v>21</v>
      </c>
      <c r="P5">
        <v>90</v>
      </c>
      <c r="Q5">
        <v>79</v>
      </c>
      <c r="R5">
        <v>53</v>
      </c>
      <c r="S5">
        <v>100</v>
      </c>
      <c r="T5">
        <v>72</v>
      </c>
      <c r="U5">
        <v>30</v>
      </c>
      <c r="V5">
        <v>32</v>
      </c>
      <c r="W5">
        <v>9</v>
      </c>
      <c r="X5">
        <v>115</v>
      </c>
      <c r="Y5">
        <v>73</v>
      </c>
      <c r="Z5">
        <v>37</v>
      </c>
      <c r="AA5">
        <v>80</v>
      </c>
      <c r="AB5">
        <v>69</v>
      </c>
      <c r="AC5">
        <v>93</v>
      </c>
      <c r="AD5">
        <v>57</v>
      </c>
      <c r="AE5">
        <v>89</v>
      </c>
      <c r="AF5" s="8">
        <f>AVERAGE(Table1[[#This Row],[AT]:[UK]])</f>
        <v>67.2</v>
      </c>
      <c r="AG5">
        <f>_xlfn.STDEV.S(Table1[[#This Row],[AT]:[UK]])</f>
        <v>26.834614804839987</v>
      </c>
    </row>
    <row r="6" spans="1:33" x14ac:dyDescent="0.25">
      <c r="A6" s="3" t="s">
        <v>35</v>
      </c>
      <c r="B6">
        <v>53</v>
      </c>
      <c r="C6">
        <v>28</v>
      </c>
      <c r="D6">
        <v>30</v>
      </c>
      <c r="E6">
        <v>70</v>
      </c>
      <c r="F6">
        <v>22</v>
      </c>
      <c r="G6">
        <v>50</v>
      </c>
      <c r="H6">
        <v>79</v>
      </c>
      <c r="I6">
        <v>55</v>
      </c>
      <c r="J6">
        <v>42</v>
      </c>
      <c r="K6">
        <v>59</v>
      </c>
      <c r="L6">
        <v>34</v>
      </c>
      <c r="M6">
        <v>41</v>
      </c>
      <c r="N6">
        <v>39</v>
      </c>
      <c r="O6">
        <v>27</v>
      </c>
      <c r="P6">
        <v>83</v>
      </c>
      <c r="Q6">
        <v>51</v>
      </c>
      <c r="R6">
        <v>40</v>
      </c>
      <c r="S6">
        <v>71</v>
      </c>
      <c r="T6">
        <v>62</v>
      </c>
      <c r="U6">
        <v>7</v>
      </c>
      <c r="V6">
        <v>47</v>
      </c>
      <c r="W6">
        <v>9</v>
      </c>
      <c r="X6">
        <v>75</v>
      </c>
      <c r="Y6">
        <v>42</v>
      </c>
      <c r="Z6">
        <v>34</v>
      </c>
      <c r="AA6">
        <v>60</v>
      </c>
      <c r="AB6">
        <v>62</v>
      </c>
      <c r="AC6">
        <v>51</v>
      </c>
      <c r="AD6">
        <v>55</v>
      </c>
      <c r="AE6">
        <v>54</v>
      </c>
      <c r="AF6" s="8">
        <f>AVERAGE(Table1[[#This Row],[AT]:[UK]])</f>
        <v>47.733333333333334</v>
      </c>
      <c r="AG6">
        <f>_xlfn.STDEV.S(Table1[[#This Row],[AT]:[UK]])</f>
        <v>18.99715647203519</v>
      </c>
    </row>
    <row r="7" spans="1:33" x14ac:dyDescent="0.25">
      <c r="A7" t="s">
        <v>36</v>
      </c>
      <c r="B7">
        <v>77</v>
      </c>
      <c r="C7">
        <v>55</v>
      </c>
      <c r="D7">
        <v>27</v>
      </c>
      <c r="E7">
        <v>87</v>
      </c>
      <c r="F7">
        <v>34</v>
      </c>
      <c r="G7">
        <v>56</v>
      </c>
      <c r="H7">
        <v>96</v>
      </c>
      <c r="I7">
        <v>65</v>
      </c>
      <c r="J7">
        <v>48</v>
      </c>
      <c r="K7">
        <v>73</v>
      </c>
      <c r="L7">
        <v>46</v>
      </c>
      <c r="M7">
        <v>67</v>
      </c>
      <c r="N7">
        <v>49</v>
      </c>
      <c r="O7">
        <v>24</v>
      </c>
      <c r="P7">
        <v>78</v>
      </c>
      <c r="Q7">
        <v>70</v>
      </c>
      <c r="R7">
        <v>46</v>
      </c>
      <c r="S7">
        <v>79</v>
      </c>
      <c r="T7">
        <v>61</v>
      </c>
      <c r="U7">
        <v>27</v>
      </c>
      <c r="V7">
        <v>34</v>
      </c>
      <c r="W7">
        <v>9</v>
      </c>
      <c r="X7">
        <v>84</v>
      </c>
      <c r="Y7">
        <v>60</v>
      </c>
      <c r="Z7">
        <v>34</v>
      </c>
      <c r="AA7">
        <v>61</v>
      </c>
      <c r="AB7">
        <v>54</v>
      </c>
      <c r="AC7">
        <v>73</v>
      </c>
      <c r="AD7">
        <v>48</v>
      </c>
      <c r="AE7">
        <v>81</v>
      </c>
      <c r="AF7" s="8">
        <f>AVERAGE(Table1[[#This Row],[AT]:[UK]])</f>
        <v>56.766666666666666</v>
      </c>
      <c r="AG7">
        <f>_xlfn.STDEV.S(Table1[[#This Row],[AT]:[UK]])</f>
        <v>21.332641870977969</v>
      </c>
    </row>
    <row r="8" spans="1:33" x14ac:dyDescent="0.25">
      <c r="A8" t="s">
        <v>37</v>
      </c>
      <c r="B8">
        <v>85</v>
      </c>
      <c r="C8">
        <v>67</v>
      </c>
      <c r="D8">
        <v>26</v>
      </c>
      <c r="E8">
        <v>82</v>
      </c>
      <c r="F8">
        <v>39</v>
      </c>
      <c r="G8">
        <v>48</v>
      </c>
      <c r="H8">
        <v>96</v>
      </c>
      <c r="I8">
        <v>61</v>
      </c>
      <c r="J8">
        <v>48</v>
      </c>
      <c r="K8">
        <v>60</v>
      </c>
      <c r="L8">
        <v>54</v>
      </c>
      <c r="M8">
        <v>68</v>
      </c>
      <c r="N8">
        <v>49</v>
      </c>
      <c r="O8">
        <v>36</v>
      </c>
      <c r="P8">
        <v>80</v>
      </c>
      <c r="Q8">
        <v>53</v>
      </c>
      <c r="R8">
        <v>41</v>
      </c>
      <c r="S8">
        <v>70</v>
      </c>
      <c r="T8">
        <v>64</v>
      </c>
      <c r="U8">
        <v>39</v>
      </c>
      <c r="V8">
        <v>38</v>
      </c>
      <c r="W8">
        <v>9</v>
      </c>
      <c r="X8">
        <v>88</v>
      </c>
      <c r="Y8">
        <v>57</v>
      </c>
      <c r="Z8">
        <v>34</v>
      </c>
      <c r="AA8">
        <v>60</v>
      </c>
      <c r="AB8">
        <v>60</v>
      </c>
      <c r="AC8">
        <v>70</v>
      </c>
      <c r="AD8">
        <v>61</v>
      </c>
      <c r="AE8">
        <v>81</v>
      </c>
      <c r="AF8" s="8">
        <f>AVERAGE(Table1[[#This Row],[AT]:[UK]])</f>
        <v>57.466666666666669</v>
      </c>
      <c r="AG8">
        <f>_xlfn.STDEV.S(Table1[[#This Row],[AT]:[UK]])</f>
        <v>19.833328503814727</v>
      </c>
    </row>
    <row r="9" spans="1:33" x14ac:dyDescent="0.25">
      <c r="A9" t="s">
        <v>38</v>
      </c>
      <c r="B9">
        <v>87</v>
      </c>
      <c r="C9">
        <v>68</v>
      </c>
      <c r="D9">
        <v>36</v>
      </c>
      <c r="E9">
        <v>102</v>
      </c>
      <c r="F9">
        <v>33</v>
      </c>
      <c r="G9">
        <v>49</v>
      </c>
      <c r="H9">
        <v>103</v>
      </c>
      <c r="I9">
        <v>73</v>
      </c>
      <c r="J9">
        <v>69</v>
      </c>
      <c r="K9">
        <v>77</v>
      </c>
      <c r="L9">
        <v>52</v>
      </c>
      <c r="M9">
        <v>72</v>
      </c>
      <c r="N9">
        <v>64</v>
      </c>
      <c r="O9">
        <v>30</v>
      </c>
      <c r="P9">
        <v>94</v>
      </c>
      <c r="Q9">
        <v>62</v>
      </c>
      <c r="R9">
        <v>44</v>
      </c>
      <c r="S9">
        <v>81</v>
      </c>
      <c r="T9">
        <v>74</v>
      </c>
      <c r="U9">
        <v>35</v>
      </c>
      <c r="V9">
        <v>48</v>
      </c>
      <c r="W9">
        <v>9</v>
      </c>
      <c r="X9">
        <v>93</v>
      </c>
      <c r="Y9">
        <v>59</v>
      </c>
      <c r="Z9">
        <v>37</v>
      </c>
      <c r="AA9">
        <v>66</v>
      </c>
      <c r="AB9">
        <v>62</v>
      </c>
      <c r="AC9">
        <v>72</v>
      </c>
      <c r="AD9">
        <v>55</v>
      </c>
      <c r="AE9">
        <v>82</v>
      </c>
      <c r="AF9" s="8">
        <f>AVERAGE(Table1[[#This Row],[AT]:[UK]])</f>
        <v>62.93333333333333</v>
      </c>
      <c r="AG9">
        <f>_xlfn.STDEV.S(Table1[[#This Row],[AT]:[UK]])</f>
        <v>22.72160347263846</v>
      </c>
    </row>
    <row r="10" spans="1:33" x14ac:dyDescent="0.25">
      <c r="A10" s="3" t="s">
        <v>39</v>
      </c>
      <c r="B10">
        <v>48</v>
      </c>
      <c r="C10">
        <v>40</v>
      </c>
      <c r="D10">
        <v>24</v>
      </c>
      <c r="E10">
        <v>48</v>
      </c>
      <c r="F10">
        <v>18</v>
      </c>
      <c r="G10">
        <v>44</v>
      </c>
      <c r="H10">
        <v>85</v>
      </c>
      <c r="I10">
        <v>42</v>
      </c>
      <c r="J10">
        <v>35</v>
      </c>
      <c r="K10">
        <v>39</v>
      </c>
      <c r="L10">
        <v>22</v>
      </c>
      <c r="M10">
        <v>43</v>
      </c>
      <c r="N10">
        <v>47</v>
      </c>
      <c r="O10">
        <v>17</v>
      </c>
      <c r="P10">
        <v>50</v>
      </c>
      <c r="Q10">
        <v>48</v>
      </c>
      <c r="R10">
        <v>30</v>
      </c>
      <c r="S10">
        <v>59</v>
      </c>
      <c r="T10">
        <v>38</v>
      </c>
      <c r="U10">
        <v>8</v>
      </c>
      <c r="V10">
        <v>18</v>
      </c>
      <c r="W10">
        <v>2</v>
      </c>
      <c r="X10">
        <v>48</v>
      </c>
      <c r="Y10">
        <v>29</v>
      </c>
      <c r="Z10">
        <v>32</v>
      </c>
      <c r="AA10">
        <v>38</v>
      </c>
      <c r="AB10">
        <v>46</v>
      </c>
      <c r="AC10">
        <v>41</v>
      </c>
      <c r="AD10">
        <v>40</v>
      </c>
      <c r="AE10">
        <v>46</v>
      </c>
      <c r="AF10" s="8">
        <f>AVERAGE(Table1[[#This Row],[AT]:[UK]])</f>
        <v>37.5</v>
      </c>
      <c r="AG10">
        <f>_xlfn.STDEV.S(Table1[[#This Row],[AT]:[UK]])</f>
        <v>16.156028019885035</v>
      </c>
    </row>
    <row r="11" spans="1:33" x14ac:dyDescent="0.25">
      <c r="A11" t="s">
        <v>40</v>
      </c>
      <c r="B11">
        <v>56</v>
      </c>
      <c r="C11">
        <v>38</v>
      </c>
      <c r="D11">
        <v>16</v>
      </c>
      <c r="E11">
        <v>80</v>
      </c>
      <c r="F11">
        <v>32</v>
      </c>
      <c r="G11">
        <v>29</v>
      </c>
      <c r="H11">
        <v>84</v>
      </c>
      <c r="I11">
        <v>50</v>
      </c>
      <c r="J11">
        <v>28</v>
      </c>
      <c r="K11">
        <v>39</v>
      </c>
      <c r="L11">
        <v>31</v>
      </c>
      <c r="M11">
        <v>62</v>
      </c>
      <c r="N11">
        <v>38</v>
      </c>
      <c r="O11">
        <v>18</v>
      </c>
      <c r="P11">
        <v>42</v>
      </c>
      <c r="Q11">
        <v>42</v>
      </c>
      <c r="R11">
        <v>34</v>
      </c>
      <c r="S11">
        <v>49</v>
      </c>
      <c r="T11">
        <v>34</v>
      </c>
      <c r="U11">
        <v>29</v>
      </c>
      <c r="V11">
        <v>18</v>
      </c>
      <c r="W11">
        <v>8</v>
      </c>
      <c r="X11">
        <v>76</v>
      </c>
      <c r="Y11">
        <v>22</v>
      </c>
      <c r="Z11">
        <v>22</v>
      </c>
      <c r="AA11">
        <v>39</v>
      </c>
      <c r="AB11">
        <v>31</v>
      </c>
      <c r="AC11">
        <v>33</v>
      </c>
      <c r="AD11">
        <v>32</v>
      </c>
      <c r="AE11">
        <v>55</v>
      </c>
      <c r="AF11" s="8">
        <f>AVERAGE(Table1[[#This Row],[AT]:[UK]])</f>
        <v>38.9</v>
      </c>
      <c r="AG11">
        <f>_xlfn.STDEV.S(Table1[[#This Row],[AT]:[UK]])</f>
        <v>18.544169080779856</v>
      </c>
    </row>
    <row r="12" spans="1:33" x14ac:dyDescent="0.25">
      <c r="A12" t="s">
        <v>41</v>
      </c>
      <c r="B12">
        <v>94</v>
      </c>
      <c r="C12">
        <v>85</v>
      </c>
      <c r="D12">
        <v>32</v>
      </c>
      <c r="E12">
        <v>115</v>
      </c>
      <c r="F12">
        <v>39</v>
      </c>
      <c r="G12">
        <v>70</v>
      </c>
      <c r="H12">
        <v>109</v>
      </c>
      <c r="I12">
        <v>83</v>
      </c>
      <c r="J12">
        <v>52</v>
      </c>
      <c r="K12">
        <v>72</v>
      </c>
      <c r="L12">
        <v>59</v>
      </c>
      <c r="M12">
        <v>84</v>
      </c>
      <c r="N12">
        <v>71</v>
      </c>
      <c r="O12">
        <v>28</v>
      </c>
      <c r="P12">
        <v>84</v>
      </c>
      <c r="Q12">
        <v>71</v>
      </c>
      <c r="R12">
        <v>56</v>
      </c>
      <c r="S12">
        <v>86</v>
      </c>
      <c r="T12">
        <v>74</v>
      </c>
      <c r="U12">
        <v>51</v>
      </c>
      <c r="V12">
        <v>45</v>
      </c>
      <c r="W12">
        <v>9</v>
      </c>
      <c r="X12">
        <v>100</v>
      </c>
      <c r="Y12">
        <v>68</v>
      </c>
      <c r="Z12">
        <v>38</v>
      </c>
      <c r="AA12">
        <v>79</v>
      </c>
      <c r="AB12">
        <v>71</v>
      </c>
      <c r="AC12">
        <v>81</v>
      </c>
      <c r="AD12">
        <v>48</v>
      </c>
      <c r="AE12">
        <v>86</v>
      </c>
      <c r="AF12" s="8">
        <f>AVERAGE(Table1[[#This Row],[AT]:[UK]])</f>
        <v>68</v>
      </c>
      <c r="AG12">
        <f>_xlfn.STDEV.S(Table1[[#This Row],[AT]:[UK]])</f>
        <v>24.532877307106013</v>
      </c>
    </row>
    <row r="13" spans="1:33" x14ac:dyDescent="0.25">
      <c r="A13" t="s">
        <v>42</v>
      </c>
      <c r="B13">
        <v>73</v>
      </c>
      <c r="C13">
        <v>47</v>
      </c>
      <c r="D13">
        <v>25</v>
      </c>
      <c r="E13">
        <v>77</v>
      </c>
      <c r="F13">
        <v>34</v>
      </c>
      <c r="G13">
        <v>39</v>
      </c>
      <c r="H13">
        <v>96</v>
      </c>
      <c r="I13">
        <v>61</v>
      </c>
      <c r="J13">
        <v>42</v>
      </c>
      <c r="K13">
        <v>51</v>
      </c>
      <c r="L13">
        <v>41</v>
      </c>
      <c r="M13">
        <v>60</v>
      </c>
      <c r="N13">
        <v>48</v>
      </c>
      <c r="O13">
        <v>29</v>
      </c>
      <c r="P13">
        <v>56</v>
      </c>
      <c r="Q13">
        <v>62</v>
      </c>
      <c r="R13">
        <v>49</v>
      </c>
      <c r="S13">
        <v>65</v>
      </c>
      <c r="T13">
        <v>48</v>
      </c>
      <c r="U13">
        <v>39</v>
      </c>
      <c r="V13">
        <v>25</v>
      </c>
      <c r="W13">
        <v>8</v>
      </c>
      <c r="X13">
        <v>85</v>
      </c>
      <c r="Y13">
        <v>47</v>
      </c>
      <c r="Z13">
        <v>29</v>
      </c>
      <c r="AA13">
        <v>55</v>
      </c>
      <c r="AB13">
        <v>55</v>
      </c>
      <c r="AC13">
        <v>57</v>
      </c>
      <c r="AD13">
        <v>48</v>
      </c>
      <c r="AE13">
        <v>59</v>
      </c>
      <c r="AF13" s="8">
        <f>AVERAGE(Table1[[#This Row],[AT]:[UK]])</f>
        <v>50.333333333333336</v>
      </c>
      <c r="AG13">
        <f>_xlfn.STDEV.S(Table1[[#This Row],[AT]:[UK]])</f>
        <v>18.544138089198551</v>
      </c>
    </row>
    <row r="14" spans="1:33" x14ac:dyDescent="0.25">
      <c r="A14" s="3" t="s">
        <v>43</v>
      </c>
      <c r="B14">
        <v>107</v>
      </c>
      <c r="C14">
        <v>95</v>
      </c>
      <c r="D14">
        <v>37</v>
      </c>
      <c r="E14">
        <v>120</v>
      </c>
      <c r="F14">
        <v>63</v>
      </c>
      <c r="G14">
        <v>79</v>
      </c>
      <c r="H14">
        <v>113</v>
      </c>
      <c r="I14">
        <v>94</v>
      </c>
      <c r="J14">
        <v>78</v>
      </c>
      <c r="K14">
        <v>88</v>
      </c>
      <c r="L14">
        <v>76</v>
      </c>
      <c r="M14">
        <v>90</v>
      </c>
      <c r="N14">
        <v>84</v>
      </c>
      <c r="O14">
        <v>62</v>
      </c>
      <c r="P14">
        <v>109</v>
      </c>
      <c r="Q14">
        <v>87</v>
      </c>
      <c r="R14">
        <v>75</v>
      </c>
      <c r="S14">
        <v>108</v>
      </c>
      <c r="T14">
        <v>94</v>
      </c>
      <c r="U14">
        <v>53</v>
      </c>
      <c r="V14">
        <v>71</v>
      </c>
      <c r="W14">
        <v>8</v>
      </c>
      <c r="X14">
        <v>117</v>
      </c>
      <c r="Y14">
        <v>80</v>
      </c>
      <c r="Z14">
        <v>42</v>
      </c>
      <c r="AA14">
        <v>95</v>
      </c>
      <c r="AB14">
        <v>94</v>
      </c>
      <c r="AC14">
        <v>84</v>
      </c>
      <c r="AD14">
        <v>105</v>
      </c>
      <c r="AE14">
        <v>98</v>
      </c>
      <c r="AF14" s="8">
        <f>AVERAGE(Table1[[#This Row],[AT]:[UK]])</f>
        <v>83.533333333333331</v>
      </c>
      <c r="AG14">
        <f>_xlfn.STDEV.S(Table1[[#This Row],[AT]:[UK]])</f>
        <v>25.062313146034331</v>
      </c>
    </row>
    <row r="15" spans="1:33" x14ac:dyDescent="0.25">
      <c r="A15" s="3" t="s">
        <v>44</v>
      </c>
      <c r="B15">
        <v>26</v>
      </c>
      <c r="C15">
        <v>9</v>
      </c>
      <c r="D15">
        <v>22</v>
      </c>
      <c r="E15">
        <v>13</v>
      </c>
      <c r="F15">
        <v>11</v>
      </c>
      <c r="G15">
        <v>26</v>
      </c>
      <c r="H15">
        <v>59</v>
      </c>
      <c r="I15">
        <v>25</v>
      </c>
      <c r="J15">
        <v>24</v>
      </c>
      <c r="K15">
        <v>18</v>
      </c>
      <c r="L15">
        <v>17</v>
      </c>
      <c r="M15">
        <v>13</v>
      </c>
      <c r="N15">
        <v>24</v>
      </c>
      <c r="O15">
        <v>9</v>
      </c>
      <c r="P15">
        <v>35</v>
      </c>
      <c r="Q15">
        <v>36</v>
      </c>
      <c r="R15">
        <v>4</v>
      </c>
      <c r="S15">
        <v>35</v>
      </c>
      <c r="T15">
        <v>16</v>
      </c>
      <c r="U15">
        <v>1</v>
      </c>
      <c r="V15">
        <v>9</v>
      </c>
      <c r="W15">
        <v>5</v>
      </c>
      <c r="X15">
        <v>23</v>
      </c>
      <c r="Y15">
        <v>42</v>
      </c>
      <c r="Z15">
        <v>26</v>
      </c>
      <c r="AA15">
        <v>26</v>
      </c>
      <c r="AB15">
        <v>40</v>
      </c>
      <c r="AC15">
        <v>20</v>
      </c>
      <c r="AD15">
        <v>22</v>
      </c>
      <c r="AE15">
        <v>38</v>
      </c>
      <c r="AF15" s="8">
        <f>AVERAGE(Table1[[#This Row],[AT]:[UK]])</f>
        <v>22.466666666666665</v>
      </c>
      <c r="AG15">
        <f>_xlfn.STDEV.S(Table1[[#This Row],[AT]:[UK]])</f>
        <v>12.976725407391905</v>
      </c>
    </row>
    <row r="16" spans="1:33" x14ac:dyDescent="0.25">
      <c r="A16" t="s">
        <v>45</v>
      </c>
      <c r="B16">
        <v>85</v>
      </c>
      <c r="C16">
        <v>57</v>
      </c>
      <c r="D16">
        <v>28</v>
      </c>
      <c r="E16">
        <v>98</v>
      </c>
      <c r="F16">
        <v>34</v>
      </c>
      <c r="G16">
        <v>51</v>
      </c>
      <c r="H16">
        <v>110</v>
      </c>
      <c r="I16">
        <v>75</v>
      </c>
      <c r="J16">
        <v>55</v>
      </c>
      <c r="K16">
        <v>68</v>
      </c>
      <c r="L16">
        <v>57</v>
      </c>
      <c r="M16">
        <v>90</v>
      </c>
      <c r="N16">
        <v>53</v>
      </c>
      <c r="O16">
        <v>20</v>
      </c>
      <c r="P16">
        <v>85</v>
      </c>
      <c r="Q16">
        <v>74</v>
      </c>
      <c r="R16">
        <v>45</v>
      </c>
      <c r="S16">
        <v>95</v>
      </c>
      <c r="T16">
        <v>69</v>
      </c>
      <c r="U16">
        <v>29</v>
      </c>
      <c r="V16">
        <v>22</v>
      </c>
      <c r="W16">
        <v>8</v>
      </c>
      <c r="X16">
        <v>89</v>
      </c>
      <c r="Y16">
        <v>50</v>
      </c>
      <c r="Z16">
        <v>37</v>
      </c>
      <c r="AA16">
        <v>71</v>
      </c>
      <c r="AB16">
        <v>71</v>
      </c>
      <c r="AC16">
        <v>75</v>
      </c>
      <c r="AD16">
        <v>47</v>
      </c>
      <c r="AE16">
        <v>84</v>
      </c>
      <c r="AF16" s="8">
        <f>AVERAGE(Table1[[#This Row],[AT]:[UK]])</f>
        <v>61.06666666666667</v>
      </c>
      <c r="AG16">
        <f>_xlfn.STDEV.S(Table1[[#This Row],[AT]:[UK]])</f>
        <v>25.824251277103631</v>
      </c>
    </row>
    <row r="17" spans="1:33" x14ac:dyDescent="0.25">
      <c r="A17" t="s">
        <v>46</v>
      </c>
      <c r="B17">
        <v>93</v>
      </c>
      <c r="C17">
        <v>77</v>
      </c>
      <c r="D17">
        <v>27</v>
      </c>
      <c r="E17">
        <v>120</v>
      </c>
      <c r="F17">
        <v>53</v>
      </c>
      <c r="G17">
        <v>62</v>
      </c>
      <c r="H17">
        <v>106</v>
      </c>
      <c r="I17">
        <v>82</v>
      </c>
      <c r="J17">
        <v>57</v>
      </c>
      <c r="K17">
        <v>71</v>
      </c>
      <c r="L17">
        <v>63</v>
      </c>
      <c r="M17">
        <v>85</v>
      </c>
      <c r="N17">
        <v>58</v>
      </c>
      <c r="O17">
        <v>38</v>
      </c>
      <c r="P17">
        <v>75</v>
      </c>
      <c r="Q17">
        <v>87</v>
      </c>
      <c r="R17">
        <v>64</v>
      </c>
      <c r="S17">
        <v>91</v>
      </c>
      <c r="T17">
        <v>83</v>
      </c>
      <c r="U17">
        <v>49</v>
      </c>
      <c r="V17">
        <v>32</v>
      </c>
      <c r="W17">
        <v>7</v>
      </c>
      <c r="X17">
        <v>111</v>
      </c>
      <c r="Y17">
        <v>61</v>
      </c>
      <c r="Z17">
        <v>37</v>
      </c>
      <c r="AA17">
        <v>70</v>
      </c>
      <c r="AB17">
        <v>68</v>
      </c>
      <c r="AC17">
        <v>93</v>
      </c>
      <c r="AD17">
        <v>68</v>
      </c>
      <c r="AE17">
        <v>97</v>
      </c>
      <c r="AF17" s="8">
        <f>AVERAGE(Table1[[#This Row],[AT]:[UK]])</f>
        <v>69.5</v>
      </c>
      <c r="AG17">
        <f>_xlfn.STDEV.S(Table1[[#This Row],[AT]:[UK]])</f>
        <v>25.767862903638122</v>
      </c>
    </row>
    <row r="18" spans="1:33" x14ac:dyDescent="0.25">
      <c r="A18" t="s">
        <v>47</v>
      </c>
      <c r="B18">
        <v>101</v>
      </c>
      <c r="C18">
        <v>85</v>
      </c>
      <c r="D18">
        <v>32</v>
      </c>
      <c r="E18">
        <v>94</v>
      </c>
      <c r="F18">
        <v>56</v>
      </c>
      <c r="G18">
        <v>65</v>
      </c>
      <c r="H18">
        <v>109</v>
      </c>
      <c r="I18">
        <v>69</v>
      </c>
      <c r="J18">
        <v>65</v>
      </c>
      <c r="K18">
        <v>88</v>
      </c>
      <c r="L18">
        <v>55</v>
      </c>
      <c r="M18">
        <v>90</v>
      </c>
      <c r="N18">
        <v>82</v>
      </c>
      <c r="O18">
        <v>38</v>
      </c>
      <c r="P18">
        <v>110</v>
      </c>
      <c r="Q18">
        <v>77</v>
      </c>
      <c r="R18">
        <v>64</v>
      </c>
      <c r="S18">
        <v>91</v>
      </c>
      <c r="T18">
        <v>70</v>
      </c>
      <c r="U18">
        <v>70</v>
      </c>
      <c r="V18">
        <v>49</v>
      </c>
      <c r="W18">
        <v>9</v>
      </c>
      <c r="X18">
        <v>98</v>
      </c>
      <c r="Y18">
        <v>66</v>
      </c>
      <c r="Z18">
        <v>38</v>
      </c>
      <c r="AA18">
        <v>94</v>
      </c>
      <c r="AB18">
        <v>82</v>
      </c>
      <c r="AC18">
        <v>83</v>
      </c>
      <c r="AD18">
        <v>86</v>
      </c>
      <c r="AE18">
        <v>83</v>
      </c>
      <c r="AF18" s="8">
        <f>AVERAGE(Table1[[#This Row],[AT]:[UK]])</f>
        <v>73.3</v>
      </c>
      <c r="AG18">
        <f>_xlfn.STDEV.S(Table1[[#This Row],[AT]:[UK]])</f>
        <v>23.628080897452321</v>
      </c>
    </row>
    <row r="19" spans="1:33" x14ac:dyDescent="0.25">
      <c r="A19" t="s">
        <v>48</v>
      </c>
      <c r="B19">
        <v>41</v>
      </c>
      <c r="C19">
        <v>34</v>
      </c>
      <c r="D19">
        <v>7</v>
      </c>
      <c r="E19">
        <v>56</v>
      </c>
      <c r="F19">
        <v>13</v>
      </c>
      <c r="G19">
        <v>23</v>
      </c>
      <c r="H19">
        <v>67</v>
      </c>
      <c r="I19">
        <v>52</v>
      </c>
      <c r="J19">
        <v>34</v>
      </c>
      <c r="K19">
        <v>26</v>
      </c>
      <c r="L19">
        <v>25</v>
      </c>
      <c r="M19">
        <v>41</v>
      </c>
      <c r="N19">
        <v>13</v>
      </c>
      <c r="O19">
        <v>6</v>
      </c>
      <c r="P19">
        <v>32</v>
      </c>
      <c r="Q19">
        <v>29</v>
      </c>
      <c r="R19">
        <v>19</v>
      </c>
      <c r="S19">
        <v>36</v>
      </c>
      <c r="T19">
        <v>52</v>
      </c>
      <c r="U19">
        <v>13</v>
      </c>
      <c r="V19">
        <v>24</v>
      </c>
      <c r="W19">
        <v>8</v>
      </c>
      <c r="X19">
        <v>51</v>
      </c>
      <c r="Y19">
        <v>36</v>
      </c>
      <c r="Z19">
        <v>30</v>
      </c>
      <c r="AA19">
        <v>33</v>
      </c>
      <c r="AB19">
        <v>29</v>
      </c>
      <c r="AC19">
        <v>55</v>
      </c>
      <c r="AD19">
        <v>26</v>
      </c>
      <c r="AE19">
        <v>53</v>
      </c>
      <c r="AF19" s="8">
        <f>AVERAGE(Table1[[#This Row],[AT]:[UK]])</f>
        <v>32.133333333333333</v>
      </c>
      <c r="AG19">
        <f>_xlfn.STDEV.S(Table1[[#This Row],[AT]:[UK]])</f>
        <v>16.136771743407991</v>
      </c>
    </row>
    <row r="20" spans="1:33" x14ac:dyDescent="0.25">
      <c r="A20" s="3" t="s">
        <v>49</v>
      </c>
      <c r="B20">
        <v>86</v>
      </c>
      <c r="C20">
        <v>64</v>
      </c>
      <c r="D20">
        <v>30</v>
      </c>
      <c r="E20">
        <v>94</v>
      </c>
      <c r="F20">
        <v>40</v>
      </c>
      <c r="G20">
        <v>56</v>
      </c>
      <c r="H20">
        <v>103</v>
      </c>
      <c r="I20">
        <v>70</v>
      </c>
      <c r="J20">
        <v>59</v>
      </c>
      <c r="K20">
        <v>58</v>
      </c>
      <c r="L20">
        <v>51</v>
      </c>
      <c r="M20">
        <v>67</v>
      </c>
      <c r="N20">
        <v>62</v>
      </c>
      <c r="O20">
        <v>37</v>
      </c>
      <c r="P20">
        <v>82</v>
      </c>
      <c r="Q20">
        <v>66</v>
      </c>
      <c r="R20">
        <v>53</v>
      </c>
      <c r="S20">
        <v>88</v>
      </c>
      <c r="T20">
        <v>65</v>
      </c>
      <c r="U20">
        <v>41</v>
      </c>
      <c r="V20">
        <v>54</v>
      </c>
      <c r="W20">
        <v>8</v>
      </c>
      <c r="X20">
        <v>92</v>
      </c>
      <c r="Y20">
        <v>48</v>
      </c>
      <c r="Z20">
        <v>34</v>
      </c>
      <c r="AA20">
        <v>72</v>
      </c>
      <c r="AB20">
        <v>58</v>
      </c>
      <c r="AC20">
        <v>66</v>
      </c>
      <c r="AD20">
        <v>65</v>
      </c>
      <c r="AE20">
        <v>73</v>
      </c>
      <c r="AF20" s="8">
        <f>AVERAGE(Table1[[#This Row],[AT]:[UK]])</f>
        <v>61.4</v>
      </c>
      <c r="AG20">
        <f>_xlfn.STDEV.S(Table1[[#This Row],[AT]:[UK]])</f>
        <v>20.697492768365731</v>
      </c>
    </row>
    <row r="21" spans="1:33" x14ac:dyDescent="0.25">
      <c r="A21" t="s">
        <v>50</v>
      </c>
      <c r="B21">
        <v>43</v>
      </c>
      <c r="C21">
        <v>41</v>
      </c>
      <c r="D21">
        <v>24</v>
      </c>
      <c r="E21">
        <v>37</v>
      </c>
      <c r="F21">
        <v>21</v>
      </c>
      <c r="G21">
        <v>43</v>
      </c>
      <c r="H21">
        <v>82</v>
      </c>
      <c r="I21">
        <v>40</v>
      </c>
      <c r="J21">
        <v>18</v>
      </c>
      <c r="K21">
        <v>43</v>
      </c>
      <c r="L21">
        <v>15</v>
      </c>
      <c r="M21">
        <v>42</v>
      </c>
      <c r="N21">
        <v>33</v>
      </c>
      <c r="O21">
        <v>28</v>
      </c>
      <c r="P21">
        <v>63</v>
      </c>
      <c r="Q21">
        <v>46</v>
      </c>
      <c r="R21">
        <v>16</v>
      </c>
      <c r="S21">
        <v>65</v>
      </c>
      <c r="T21">
        <v>50</v>
      </c>
      <c r="U21">
        <v>8</v>
      </c>
      <c r="V21">
        <v>13</v>
      </c>
      <c r="W21">
        <v>7</v>
      </c>
      <c r="X21">
        <v>57</v>
      </c>
      <c r="Y21">
        <v>24</v>
      </c>
      <c r="Z21">
        <v>33</v>
      </c>
      <c r="AA21">
        <v>54</v>
      </c>
      <c r="AB21">
        <v>50</v>
      </c>
      <c r="AC21">
        <v>38</v>
      </c>
      <c r="AD21">
        <v>44</v>
      </c>
      <c r="AE21">
        <v>47</v>
      </c>
      <c r="AF21" s="8">
        <f>AVERAGE(Table1[[#This Row],[AT]:[UK]])</f>
        <v>37.5</v>
      </c>
      <c r="AG21">
        <f>_xlfn.STDEV.S(Table1[[#This Row],[AT]:[UK]])</f>
        <v>17.814658822596556</v>
      </c>
    </row>
    <row r="22" spans="1:33" x14ac:dyDescent="0.25">
      <c r="A22" t="s">
        <v>51</v>
      </c>
      <c r="B22">
        <v>112</v>
      </c>
      <c r="C22">
        <v>89</v>
      </c>
      <c r="D22">
        <v>35</v>
      </c>
      <c r="E22">
        <v>117</v>
      </c>
      <c r="F22">
        <v>72</v>
      </c>
      <c r="G22">
        <v>73</v>
      </c>
      <c r="H22">
        <v>113</v>
      </c>
      <c r="I22">
        <v>91</v>
      </c>
      <c r="J22">
        <v>64</v>
      </c>
      <c r="K22">
        <v>88</v>
      </c>
      <c r="L22">
        <v>76</v>
      </c>
      <c r="M22">
        <v>94</v>
      </c>
      <c r="N22">
        <v>85</v>
      </c>
      <c r="O22">
        <v>48</v>
      </c>
      <c r="P22">
        <v>98</v>
      </c>
      <c r="Q22">
        <v>87</v>
      </c>
      <c r="R22">
        <v>79</v>
      </c>
      <c r="S22">
        <v>100</v>
      </c>
      <c r="T22">
        <v>95</v>
      </c>
      <c r="U22">
        <v>59</v>
      </c>
      <c r="V22">
        <v>64</v>
      </c>
      <c r="W22">
        <v>8</v>
      </c>
      <c r="X22">
        <v>122</v>
      </c>
      <c r="Y22">
        <v>73</v>
      </c>
      <c r="Z22">
        <v>39</v>
      </c>
      <c r="AA22">
        <v>93</v>
      </c>
      <c r="AB22">
        <v>81</v>
      </c>
      <c r="AC22">
        <v>95</v>
      </c>
      <c r="AD22">
        <v>88</v>
      </c>
      <c r="AE22">
        <v>93</v>
      </c>
      <c r="AF22" s="8">
        <f>AVERAGE(Table1[[#This Row],[AT]:[UK]])</f>
        <v>81.033333333333331</v>
      </c>
      <c r="AG22">
        <f>_xlfn.STDEV.S(Table1[[#This Row],[AT]:[UK]])</f>
        <v>25.170430562718707</v>
      </c>
    </row>
  </sheetData>
  <conditionalFormatting sqref="B2:AE2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sample_size_abs</vt:lpstr>
      <vt:lpstr>sample_size_rel</vt:lpstr>
      <vt:lpstr>n_unique_occ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Zaussinger  Felix</dc:creator>
  <cp:lastModifiedBy>Zaussinger  Felix</cp:lastModifiedBy>
  <dcterms:created xsi:type="dcterms:W3CDTF">2022-05-11T11:56:19Z</dcterms:created>
  <dcterms:modified xsi:type="dcterms:W3CDTF">2022-05-11T12:31:54Z</dcterms:modified>
</cp:coreProperties>
</file>